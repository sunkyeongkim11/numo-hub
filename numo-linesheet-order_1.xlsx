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Line Sheet" sheetId="1" state="visible" r:id="rId1"/>
    <sheet xmlns:r="http://schemas.openxmlformats.org/officeDocument/2006/relationships" name="TOPS" sheetId="2" state="visible" r:id="rId2"/>
    <sheet xmlns:r="http://schemas.openxmlformats.org/officeDocument/2006/relationships" name="SETS" sheetId="3" state="visible" r:id="rId3"/>
    <sheet xmlns:r="http://schemas.openxmlformats.org/officeDocument/2006/relationships" name="OUTERWEAR" sheetId="4" state="visible" r:id="rId4"/>
    <sheet xmlns:r="http://schemas.openxmlformats.org/officeDocument/2006/relationships" name="BOTTOMS" sheetId="5" state="visible" r:id="rId5"/>
    <sheet xmlns:r="http://schemas.openxmlformats.org/officeDocument/2006/relationships" name="ACCESSOR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B6860"/>
      <sz val="9"/>
    </font>
    <font>
      <name val="Arial"/>
      <b val="1"/>
      <color rgb="002D5F4F"/>
      <sz val="9"/>
    </font>
    <font>
      <name val="Arial"/>
      <color rgb="001A1916"/>
      <sz val="9"/>
    </font>
    <font>
      <name val="Arial"/>
      <b val="1"/>
      <color rgb="00FFFFFF"/>
      <sz val="9"/>
    </font>
    <font>
      <name val="Arial"/>
      <b val="1"/>
      <color rgb="00993C1D"/>
      <sz val="10"/>
    </font>
    <font>
      <name val="Arial"/>
      <i val="1"/>
      <color rgb="00CCCCCC"/>
      <sz val="8"/>
    </font>
    <font>
      <name val="Arial"/>
      <b val="1"/>
      <color rgb="001A1916"/>
      <sz val="10"/>
    </font>
    <font>
      <name val="Arial"/>
      <b val="1"/>
      <color rgb="00993C1D"/>
      <sz val="9"/>
    </font>
    <font>
      <name val="Arial"/>
      <color rgb="00888780"/>
      <sz val="9"/>
    </font>
    <font>
      <name val="Arial"/>
      <b val="1"/>
      <color rgb="002D5F4F"/>
      <sz val="11"/>
    </font>
    <font>
      <name val="Arial"/>
      <color rgb="001A1916"/>
      <sz val="10"/>
    </font>
    <font>
      <name val="Arial"/>
      <color rgb="00DDDDDD"/>
      <sz val="8"/>
    </font>
    <font>
      <name val="Arial"/>
      <b val="1"/>
      <color rgb="000000CC"/>
      <sz val="11"/>
    </font>
    <font>
      <name val="Arial"/>
      <b val="1"/>
      <color rgb="001A1916"/>
      <sz val="11"/>
    </font>
    <font>
      <name val="Arial"/>
      <color rgb="00CCCCCC"/>
      <sz val="9"/>
    </font>
    <font>
      <name val="Arial"/>
      <color rgb="00C4622A"/>
      <sz val="9"/>
    </font>
    <font>
      <name val="Arial"/>
      <b val="1"/>
      <color rgb="000F6E56"/>
      <sz val="10"/>
    </font>
    <font>
      <name val="Arial"/>
      <b val="1"/>
      <color rgb="000F6E56"/>
      <sz val="9"/>
    </font>
    <font>
      <name val="Arial"/>
      <b val="1"/>
      <color rgb="003C3489"/>
      <sz val="10"/>
    </font>
    <font>
      <name val="Arial"/>
      <b val="1"/>
      <color rgb="003C3489"/>
      <sz val="9"/>
    </font>
    <font>
      <name val="Arial"/>
      <b val="1"/>
      <color rgb="00633806"/>
      <sz val="10"/>
    </font>
    <font>
      <name val="Arial"/>
      <b val="1"/>
      <color rgb="00633806"/>
      <sz val="9"/>
    </font>
    <font>
      <name val="Arial"/>
      <b val="1"/>
      <color rgb="00185FA5"/>
      <sz val="10"/>
    </font>
    <font>
      <name val="Arial"/>
      <b val="1"/>
      <color rgb="00185FA5"/>
      <sz val="9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2D5F4F"/>
      <sz val="9"/>
    </font>
  </fonts>
  <fills count="12">
    <fill>
      <patternFill/>
    </fill>
    <fill>
      <patternFill patternType="gray125"/>
    </fill>
    <fill>
      <patternFill patternType="solid">
        <fgColor rgb="002D5F4F"/>
      </patternFill>
    </fill>
    <fill>
      <patternFill patternType="solid">
        <fgColor rgb="00F0EDE6"/>
      </patternFill>
    </fill>
    <fill>
      <patternFill patternType="solid">
        <fgColor rgb="00E8F2EE"/>
      </patternFill>
    </fill>
    <fill>
      <patternFill patternType="solid">
        <fgColor rgb="00FFFFFF"/>
      </patternFill>
    </fill>
    <fill>
      <patternFill patternType="solid">
        <fgColor rgb="00FDF0E8"/>
      </patternFill>
    </fill>
    <fill>
      <patternFill patternType="solid">
        <fgColor rgb="00FFFDE7"/>
      </patternFill>
    </fill>
    <fill>
      <patternFill patternType="solid">
        <fgColor rgb="00F5F3EE"/>
      </patternFill>
    </fill>
    <fill>
      <patternFill patternType="solid">
        <fgColor rgb="00EEEDFE"/>
      </patternFill>
    </fill>
    <fill>
      <patternFill patternType="solid">
        <fgColor rgb="00FAF0E8"/>
      </patternFill>
    </fill>
    <fill>
      <patternFill patternType="solid">
        <fgColor rgb="00EEF0FB"/>
      </patternFill>
    </fill>
  </fills>
  <borders count="3">
    <border>
      <left/>
      <right/>
      <top/>
      <bottom/>
      <diagonal/>
    </border>
    <border>
      <left style="thin">
        <color rgb="00E0DDD6"/>
      </left>
      <right style="thin">
        <color rgb="00E0DDD6"/>
      </right>
      <top style="thin">
        <color rgb="00E0DDD6"/>
      </top>
      <bottom style="thin">
        <color rgb="00E0DDD6"/>
      </bottom>
    </border>
    <border>
      <left style="medium">
        <color rgb="00EF9F27"/>
      </left>
      <right style="medium">
        <color rgb="00EF9F27"/>
      </right>
      <top style="medium">
        <color rgb="00EF9F27"/>
      </top>
      <bottom style="medium">
        <color rgb="00EF9F27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11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7" borderId="2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12" fillId="8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left" vertical="center"/>
    </xf>
    <xf numFmtId="0" fontId="25" fillId="1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4" fontId="2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left" vertical="center"/>
    </xf>
    <xf numFmtId="0" fontId="28" fillId="4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6" customWidth="1" min="4" max="4"/>
    <col width="6" customWidth="1" min="5" max="5"/>
    <col width="10" customWidth="1" min="6" max="6"/>
    <col width="7" customWidth="1" min="7" max="7"/>
    <col width="24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8" customWidth="1" min="18" max="18"/>
    <col width="14" customWidth="1" min="19" max="19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21,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36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Korean Name</t>
        </is>
      </c>
      <c r="E7" s="5" t="inlineStr">
        <is>
          <t>Cat.</t>
        </is>
      </c>
      <c r="F7" s="5" t="inlineStr">
        <is>
          <t>Color</t>
        </is>
      </c>
      <c r="G7" s="5" t="inlineStr">
        <is>
          <t>Detail</t>
        </is>
      </c>
      <c r="H7" s="5" t="inlineStr">
        <is>
          <t>Description</t>
        </is>
      </c>
      <c r="I7" s="5" t="inlineStr">
        <is>
          <t>Wholesale
(USD)</t>
        </is>
      </c>
      <c r="J7" s="5" t="inlineStr">
        <is>
          <t>MSRP
(USD)</t>
        </is>
      </c>
      <c r="K7" s="5" t="inlineStr">
        <is>
          <t>Stock</t>
        </is>
      </c>
      <c r="L7" s="5" t="inlineStr">
        <is>
          <t>Qty
(One Size)</t>
        </is>
      </c>
      <c r="M7" s="5" t="inlineStr">
        <is>
          <t>Qty
(80)</t>
        </is>
      </c>
      <c r="N7" s="5" t="inlineStr">
        <is>
          <t>Qty
(90)</t>
        </is>
      </c>
      <c r="O7" s="5" t="inlineStr">
        <is>
          <t>Qty
(100)</t>
        </is>
      </c>
      <c r="P7" s="5" t="inlineStr">
        <is>
          <t>Qty
(110)</t>
        </is>
      </c>
      <c r="Q7" s="5" t="inlineStr">
        <is>
          <t>Qty
(120)</t>
        </is>
      </c>
      <c r="R7" s="5" t="inlineStr">
        <is>
          <t>Total
Qty</t>
        </is>
      </c>
      <c r="S7" s="5" t="inlineStr">
        <is>
          <t>Total
Wholesale</t>
        </is>
      </c>
    </row>
    <row r="8" ht="20" customHeight="1">
      <c r="A8" s="6" t="inlineStr">
        <is>
          <t xml:space="preserve">  ▸  TOPS</t>
        </is>
      </c>
    </row>
    <row r="9" ht="46" customHeight="1">
      <c r="A9" s="7" t="inlineStr">
        <is>
          <t>↑ photo</t>
        </is>
      </c>
      <c r="B9" s="8" t="inlineStr">
        <is>
          <t>NM-26S-TOP-FL01</t>
        </is>
      </c>
      <c r="C9" s="9" t="inlineStr">
        <is>
          <t>Floral Cherie Set</t>
        </is>
      </c>
      <c r="D9" s="10" t="inlineStr">
        <is>
          <t>꽃쉐리</t>
        </is>
      </c>
      <c r="E9" s="11" t="inlineStr">
        <is>
          <t>TOP</t>
        </is>
      </c>
      <c r="F9" s="4" t="inlineStr">
        <is>
          <t>Light Grey</t>
        </is>
      </c>
      <c r="G9" s="12" t="inlineStr">
        <is>
          <t>—</t>
        </is>
      </c>
      <c r="H9" s="13" t="inlineStr">
        <is>
          <t>Floral print top with delicate details.</t>
        </is>
      </c>
      <c r="I9" s="14" t="n">
        <v>29</v>
      </c>
      <c r="J9" s="15" t="n">
        <v>64</v>
      </c>
      <c r="K9" s="16" t="inlineStr">
        <is>
          <t>✓  36 pcs</t>
        </is>
      </c>
      <c r="L9" s="17" t="inlineStr">
        <is>
          <t>✕</t>
        </is>
      </c>
      <c r="M9" s="18" t="n"/>
      <c r="N9" s="18" t="n"/>
      <c r="O9" s="18" t="n"/>
      <c r="P9" s="18" t="n"/>
      <c r="Q9" s="18" t="n"/>
      <c r="R9" s="19">
        <f>SUMPRODUCT((L9:Q9&gt;0)*(L9:Q9))</f>
        <v/>
      </c>
      <c r="S9" s="14">
        <f>R9*I9</f>
        <v/>
      </c>
    </row>
    <row r="10" ht="46" customHeight="1">
      <c r="A10" s="7" t="inlineStr">
        <is>
          <t>↑ photo</t>
        </is>
      </c>
      <c r="B10" s="20" t="inlineStr">
        <is>
          <t>NM-26S-TOP-MX01</t>
        </is>
      </c>
      <c r="C10" s="21" t="inlineStr">
        <is>
          <t>Color Block Rib Top</t>
        </is>
      </c>
      <c r="D10" s="22" t="inlineStr">
        <is>
          <t>배색 시보리</t>
        </is>
      </c>
      <c r="E10" s="11" t="inlineStr">
        <is>
          <t>TOP</t>
        </is>
      </c>
      <c r="F10" s="23" t="inlineStr">
        <is>
          <t>Pink</t>
        </is>
      </c>
      <c r="G10" s="24" t="inlineStr">
        <is>
          <t>—</t>
        </is>
      </c>
      <c r="H10" s="25" t="inlineStr">
        <is>
          <t>Color block ribbed top with soft texture.</t>
        </is>
      </c>
      <c r="I10" s="14" t="n">
        <v>29</v>
      </c>
      <c r="J10" s="26" t="n">
        <v>70</v>
      </c>
      <c r="K10" s="16" t="inlineStr">
        <is>
          <t>✓  61 pcs</t>
        </is>
      </c>
      <c r="L10" s="17" t="inlineStr">
        <is>
          <t>✕</t>
        </is>
      </c>
      <c r="M10" s="27" t="inlineStr">
        <is>
          <t>—</t>
        </is>
      </c>
      <c r="N10" s="18" t="n"/>
      <c r="O10" s="18" t="n"/>
      <c r="P10" s="18" t="n"/>
      <c r="Q10" s="18" t="n"/>
      <c r="R10" s="19">
        <f>SUMPRODUCT((L10:Q10&gt;0)*(L10:Q10))</f>
        <v/>
      </c>
      <c r="S10" s="14">
        <f>R10*I10</f>
        <v/>
      </c>
    </row>
    <row r="11" ht="46" customHeight="1">
      <c r="A11" s="7" t="inlineStr">
        <is>
          <t>↑ photo</t>
        </is>
      </c>
      <c r="B11" s="8" t="inlineStr">
        <is>
          <t>NM-26S-TOP-SD01</t>
        </is>
      </c>
      <c r="C11" s="9" t="inlineStr">
        <is>
          <t>Shoulder Slit 3/4 Top</t>
        </is>
      </c>
      <c r="D11" s="10" t="inlineStr">
        <is>
          <t>7부 어깨트임</t>
        </is>
      </c>
      <c r="E11" s="11" t="inlineStr">
        <is>
          <t>TOP</t>
        </is>
      </c>
      <c r="F11" s="4" t="inlineStr">
        <is>
          <t>Black</t>
        </is>
      </c>
      <c r="G11" s="12" t="inlineStr">
        <is>
          <t>—</t>
        </is>
      </c>
      <c r="H11" s="13" t="inlineStr">
        <is>
          <t>Soft modal top with shoulder slits.</t>
        </is>
      </c>
      <c r="I11" s="14" t="n">
        <v>27</v>
      </c>
      <c r="J11" s="15" t="n">
        <v>60</v>
      </c>
      <c r="K11" s="16" t="inlineStr">
        <is>
          <t>✓  6 pcs</t>
        </is>
      </c>
      <c r="L11" s="17" t="inlineStr">
        <is>
          <t>✕</t>
        </is>
      </c>
      <c r="M11" s="18" t="n"/>
      <c r="N11" s="18" t="n"/>
      <c r="O11" s="27" t="inlineStr">
        <is>
          <t>—</t>
        </is>
      </c>
      <c r="P11" s="17" t="inlineStr">
        <is>
          <t>✕</t>
        </is>
      </c>
      <c r="Q11" s="17" t="inlineStr">
        <is>
          <t>✕</t>
        </is>
      </c>
      <c r="R11" s="19">
        <f>SUMPRODUCT((L11:Q11&gt;0)*(L11:Q11))</f>
        <v/>
      </c>
      <c r="S11" s="14">
        <f>R11*I11</f>
        <v/>
      </c>
    </row>
    <row r="12" ht="46" customHeight="1">
      <c r="A12" s="7" t="inlineStr">
        <is>
          <t>↑ photo</t>
        </is>
      </c>
      <c r="B12" s="20" t="inlineStr">
        <is>
          <t>NM-26S-TOP-SD01</t>
        </is>
      </c>
      <c r="C12" s="21" t="inlineStr">
        <is>
          <t>Shoulder Slit 3/4 Top</t>
        </is>
      </c>
      <c r="D12" s="22" t="inlineStr">
        <is>
          <t>7부 어깨트임</t>
        </is>
      </c>
      <c r="E12" s="11" t="inlineStr">
        <is>
          <t>TOP</t>
        </is>
      </c>
      <c r="F12" s="23" t="inlineStr">
        <is>
          <t>Lemon</t>
        </is>
      </c>
      <c r="G12" s="24" t="inlineStr">
        <is>
          <t>—</t>
        </is>
      </c>
      <c r="H12" s="25" t="inlineStr">
        <is>
          <t>Soft modal top with shoulder slits.</t>
        </is>
      </c>
      <c r="I12" s="14" t="n">
        <v>27</v>
      </c>
      <c r="J12" s="26" t="n">
        <v>60</v>
      </c>
      <c r="K12" s="16" t="inlineStr">
        <is>
          <t>✓  7 pcs</t>
        </is>
      </c>
      <c r="L12" s="17" t="inlineStr">
        <is>
          <t>✕</t>
        </is>
      </c>
      <c r="M12" s="27" t="inlineStr">
        <is>
          <t>—</t>
        </is>
      </c>
      <c r="N12" s="18" t="n"/>
      <c r="O12" s="27" t="inlineStr">
        <is>
          <t>—</t>
        </is>
      </c>
      <c r="P12" s="17" t="inlineStr">
        <is>
          <t>✕</t>
        </is>
      </c>
      <c r="Q12" s="17" t="inlineStr">
        <is>
          <t>✕</t>
        </is>
      </c>
      <c r="R12" s="19">
        <f>SUMPRODUCT((L12:Q12&gt;0)*(L12:Q12))</f>
        <v/>
      </c>
      <c r="S12" s="14">
        <f>R12*I12</f>
        <v/>
      </c>
    </row>
    <row r="13" ht="46" customHeight="1">
      <c r="A13" s="7" t="inlineStr">
        <is>
          <t>↑ photo</t>
        </is>
      </c>
      <c r="B13" s="8" t="inlineStr">
        <is>
          <t>NM-26S-TOP-SD01</t>
        </is>
      </c>
      <c r="C13" s="9" t="inlineStr">
        <is>
          <t>Shoulder Slit 3/4 Top</t>
        </is>
      </c>
      <c r="D13" s="10" t="inlineStr">
        <is>
          <t>7부 어깨트임</t>
        </is>
      </c>
      <c r="E13" s="11" t="inlineStr">
        <is>
          <t>TOP</t>
        </is>
      </c>
      <c r="F13" s="4" t="inlineStr">
        <is>
          <t>Purple</t>
        </is>
      </c>
      <c r="G13" s="12" t="inlineStr">
        <is>
          <t>—</t>
        </is>
      </c>
      <c r="H13" s="13" t="inlineStr">
        <is>
          <t>Soft modal top with shoulder slits.</t>
        </is>
      </c>
      <c r="I13" s="14" t="n">
        <v>27</v>
      </c>
      <c r="J13" s="15" t="n">
        <v>60</v>
      </c>
      <c r="K13" s="16" t="inlineStr">
        <is>
          <t>✓  22 pcs</t>
        </is>
      </c>
      <c r="L13" s="17" t="inlineStr">
        <is>
          <t>✕</t>
        </is>
      </c>
      <c r="M13" s="18" t="n"/>
      <c r="N13" s="18" t="n"/>
      <c r="O13" s="27" t="inlineStr">
        <is>
          <t>—</t>
        </is>
      </c>
      <c r="P13" s="17" t="inlineStr">
        <is>
          <t>✕</t>
        </is>
      </c>
      <c r="Q13" s="17" t="inlineStr">
        <is>
          <t>✕</t>
        </is>
      </c>
      <c r="R13" s="19">
        <f>SUMPRODUCT((L13:Q13&gt;0)*(L13:Q13))</f>
        <v/>
      </c>
      <c r="S13" s="14">
        <f>R13*I13</f>
        <v/>
      </c>
    </row>
    <row r="14" ht="46" customHeight="1">
      <c r="A14" s="7" t="inlineStr">
        <is>
          <t>↑ photo</t>
        </is>
      </c>
      <c r="B14" s="20" t="inlineStr">
        <is>
          <t>NM-26S-TOP-SD02</t>
        </is>
      </c>
      <c r="C14" s="21" t="inlineStr">
        <is>
          <t>Classic Fit Top</t>
        </is>
      </c>
      <c r="D14" s="22" t="inlineStr">
        <is>
          <t>클래식핏 (메란지)</t>
        </is>
      </c>
      <c r="E14" s="11" t="inlineStr">
        <is>
          <t>TOP</t>
        </is>
      </c>
      <c r="F14" s="23" t="inlineStr">
        <is>
          <t>Melange Grey</t>
        </is>
      </c>
      <c r="G14" s="24" t="inlineStr">
        <is>
          <t>—</t>
        </is>
      </c>
      <c r="H14" s="25" t="inlineStr">
        <is>
          <t>Classic fit top in melange grey.</t>
        </is>
      </c>
      <c r="I14" s="14" t="n">
        <v>30</v>
      </c>
      <c r="J14" s="26" t="n">
        <v>57</v>
      </c>
      <c r="K14" s="16" t="inlineStr">
        <is>
          <t>✓  51 pcs</t>
        </is>
      </c>
      <c r="L14" s="17" t="inlineStr">
        <is>
          <t>✕</t>
        </is>
      </c>
      <c r="M14" s="18" t="n"/>
      <c r="N14" s="18" t="n"/>
      <c r="O14" s="18" t="n"/>
      <c r="P14" s="18" t="n"/>
      <c r="Q14" s="18" t="n"/>
      <c r="R14" s="19">
        <f>SUMPRODUCT((L14:Q14&gt;0)*(L14:Q14))</f>
        <v/>
      </c>
      <c r="S14" s="14">
        <f>R14*I14</f>
        <v/>
      </c>
    </row>
    <row r="15" ht="46" customHeight="1">
      <c r="A15" s="7" t="inlineStr">
        <is>
          <t>↑ photo</t>
        </is>
      </c>
      <c r="B15" s="8" t="inlineStr">
        <is>
          <t>NM-26S-TOP-SD03</t>
        </is>
      </c>
      <c r="C15" s="9" t="inlineStr">
        <is>
          <t>Classic Fit Top</t>
        </is>
      </c>
      <c r="D15" s="10" t="inlineStr">
        <is>
          <t>클래식핏 (앞트임·셔링)</t>
        </is>
      </c>
      <c r="E15" s="11" t="inlineStr">
        <is>
          <t>TOP</t>
        </is>
      </c>
      <c r="F15" s="4" t="inlineStr">
        <is>
          <t>Purple</t>
        </is>
      </c>
      <c r="G15" s="12" t="inlineStr">
        <is>
          <t>Shirring</t>
        </is>
      </c>
      <c r="H15" s="13" t="inlineStr">
        <is>
          <t>Classic fit top, front slit with shirring.</t>
        </is>
      </c>
      <c r="I15" s="14" t="n">
        <v>29</v>
      </c>
      <c r="J15" s="15" t="n">
        <v>63</v>
      </c>
      <c r="K15" s="16" t="inlineStr">
        <is>
          <t>✓  21 pcs</t>
        </is>
      </c>
      <c r="L15" s="17" t="inlineStr">
        <is>
          <t>✕</t>
        </is>
      </c>
      <c r="M15" s="27" t="inlineStr">
        <is>
          <t>—</t>
        </is>
      </c>
      <c r="N15" s="27" t="inlineStr">
        <is>
          <t>—</t>
        </is>
      </c>
      <c r="O15" s="18" t="n"/>
      <c r="P15" s="27" t="inlineStr">
        <is>
          <t>—</t>
        </is>
      </c>
      <c r="Q15" s="18" t="n"/>
      <c r="R15" s="19">
        <f>SUMPRODUCT((L15:Q15&gt;0)*(L15:Q15))</f>
        <v/>
      </c>
      <c r="S15" s="14">
        <f>R15*I15</f>
        <v/>
      </c>
    </row>
    <row r="16" ht="46" customHeight="1">
      <c r="A16" s="7" t="inlineStr">
        <is>
          <t>↑ photo</t>
        </is>
      </c>
      <c r="B16" s="20" t="inlineStr">
        <is>
          <t>NM-26S-TOP-SD03</t>
        </is>
      </c>
      <c r="C16" s="21" t="inlineStr">
        <is>
          <t>Classic Fit Top</t>
        </is>
      </c>
      <c r="D16" s="22" t="inlineStr">
        <is>
          <t>클래식핏 (앞트임·셔링)</t>
        </is>
      </c>
      <c r="E16" s="11" t="inlineStr">
        <is>
          <t>TOP</t>
        </is>
      </c>
      <c r="F16" s="23" t="inlineStr">
        <is>
          <t>Yellow</t>
        </is>
      </c>
      <c r="G16" s="24" t="inlineStr">
        <is>
          <t>Shirring</t>
        </is>
      </c>
      <c r="H16" s="25" t="inlineStr">
        <is>
          <t>Classic fit top, front slit with shirring.</t>
        </is>
      </c>
      <c r="I16" s="14" t="n">
        <v>29</v>
      </c>
      <c r="J16" s="26" t="n">
        <v>63</v>
      </c>
      <c r="K16" s="16" t="inlineStr">
        <is>
          <t>✓  47 pcs</t>
        </is>
      </c>
      <c r="L16" s="17" t="inlineStr">
        <is>
          <t>✕</t>
        </is>
      </c>
      <c r="M16" s="18" t="n"/>
      <c r="N16" s="18" t="n"/>
      <c r="O16" s="18" t="n"/>
      <c r="P16" s="18" t="n"/>
      <c r="Q16" s="18" t="n"/>
      <c r="R16" s="19">
        <f>SUMPRODUCT((L16:Q16&gt;0)*(L16:Q16))</f>
        <v/>
      </c>
      <c r="S16" s="14">
        <f>R16*I16</f>
        <v/>
      </c>
    </row>
    <row r="17" ht="46" customHeight="1">
      <c r="A17" s="7" t="inlineStr">
        <is>
          <t>↑ photo</t>
        </is>
      </c>
      <c r="B17" s="8" t="inlineStr">
        <is>
          <t>NM-26S-TOP-SD04</t>
        </is>
      </c>
      <c r="C17" s="9" t="inlineStr">
        <is>
          <t>Classic Fit Top</t>
        </is>
      </c>
      <c r="D17" s="10" t="inlineStr">
        <is>
          <t>클래식핏 (앞트임·랍바)</t>
        </is>
      </c>
      <c r="E17" s="11" t="inlineStr">
        <is>
          <t>TOP</t>
        </is>
      </c>
      <c r="F17" s="4" t="inlineStr">
        <is>
          <t>Purple</t>
        </is>
      </c>
      <c r="G17" s="12" t="inlineStr">
        <is>
          <t>Ruffle</t>
        </is>
      </c>
      <c r="H17" s="13" t="inlineStr">
        <is>
          <t>Classic fit top, front slit with ruffle.</t>
        </is>
      </c>
      <c r="I17" s="14" t="n">
        <v>29</v>
      </c>
      <c r="J17" s="15" t="n">
        <v>63</v>
      </c>
      <c r="K17" s="16" t="inlineStr">
        <is>
          <t>✓  51 pcs</t>
        </is>
      </c>
      <c r="L17" s="17" t="inlineStr">
        <is>
          <t>✕</t>
        </is>
      </c>
      <c r="M17" s="18" t="n"/>
      <c r="N17" s="18" t="n"/>
      <c r="O17" s="18" t="n"/>
      <c r="P17" s="18" t="n"/>
      <c r="Q17" s="18" t="n"/>
      <c r="R17" s="19">
        <f>SUMPRODUCT((L17:Q17&gt;0)*(L17:Q17))</f>
        <v/>
      </c>
      <c r="S17" s="14">
        <f>R17*I17</f>
        <v/>
      </c>
    </row>
    <row r="18" ht="46" customHeight="1">
      <c r="A18" s="7" t="inlineStr">
        <is>
          <t>↑ photo</t>
        </is>
      </c>
      <c r="B18" s="20" t="inlineStr">
        <is>
          <t>NM-26S-TOP-SD04</t>
        </is>
      </c>
      <c r="C18" s="21" t="inlineStr">
        <is>
          <t>Classic Fit Top</t>
        </is>
      </c>
      <c r="D18" s="22" t="inlineStr">
        <is>
          <t>클래식핏 (앞트임·랍바)</t>
        </is>
      </c>
      <c r="E18" s="11" t="inlineStr">
        <is>
          <t>TOP</t>
        </is>
      </c>
      <c r="F18" s="23" t="inlineStr">
        <is>
          <t>Yellow</t>
        </is>
      </c>
      <c r="G18" s="24" t="inlineStr">
        <is>
          <t>Ruffle</t>
        </is>
      </c>
      <c r="H18" s="25" t="inlineStr">
        <is>
          <t>Classic fit top, front slit with ruffle.</t>
        </is>
      </c>
      <c r="I18" s="14" t="n">
        <v>29</v>
      </c>
      <c r="J18" s="26" t="n">
        <v>63</v>
      </c>
      <c r="K18" s="16" t="inlineStr">
        <is>
          <t>✓  37 pcs</t>
        </is>
      </c>
      <c r="L18" s="17" t="inlineStr">
        <is>
          <t>✕</t>
        </is>
      </c>
      <c r="M18" s="18" t="n"/>
      <c r="N18" s="18" t="n"/>
      <c r="O18" s="18" t="n"/>
      <c r="P18" s="18" t="n"/>
      <c r="Q18" s="18" t="n"/>
      <c r="R18" s="19">
        <f>SUMPRODUCT((L18:Q18&gt;0)*(L18:Q18))</f>
        <v/>
      </c>
      <c r="S18" s="14">
        <f>R18*I18</f>
        <v/>
      </c>
    </row>
    <row r="19" ht="46" customHeight="1">
      <c r="A19" s="7" t="inlineStr">
        <is>
          <t>↑ photo</t>
        </is>
      </c>
      <c r="B19" s="8" t="inlineStr">
        <is>
          <t>NM-26S-TOP-ST01</t>
        </is>
      </c>
      <c r="C19" s="9" t="inlineStr">
        <is>
          <t>Stripe Bodysuit</t>
        </is>
      </c>
      <c r="D19" s="10" t="inlineStr">
        <is>
          <t>스트라이프 바디수트</t>
        </is>
      </c>
      <c r="E19" s="11" t="inlineStr">
        <is>
          <t>TOP</t>
        </is>
      </c>
      <c r="F19" s="4" t="inlineStr">
        <is>
          <t>Stripe</t>
        </is>
      </c>
      <c r="G19" s="12" t="inlineStr">
        <is>
          <t>—</t>
        </is>
      </c>
      <c r="H19" s="13" t="inlineStr">
        <is>
          <t>Classic stripe bodysuit with snap buttons.</t>
        </is>
      </c>
      <c r="I19" s="14" t="n">
        <v>21</v>
      </c>
      <c r="J19" s="15" t="n">
        <v>46</v>
      </c>
      <c r="K19" s="28" t="inlineStr">
        <is>
          <t>Pre-Order</t>
        </is>
      </c>
      <c r="L19" s="17" t="inlineStr">
        <is>
          <t>✕</t>
        </is>
      </c>
      <c r="M19" s="27" t="inlineStr">
        <is>
          <t>—</t>
        </is>
      </c>
      <c r="N19" s="27" t="inlineStr">
        <is>
          <t>—</t>
        </is>
      </c>
      <c r="O19" s="27" t="inlineStr">
        <is>
          <t>—</t>
        </is>
      </c>
      <c r="P19" s="27" t="inlineStr">
        <is>
          <t>—</t>
        </is>
      </c>
      <c r="Q19" s="27" t="inlineStr">
        <is>
          <t>—</t>
        </is>
      </c>
      <c r="R19" s="19">
        <f>SUMPRODUCT((L19:Q19&gt;0)*(L19:Q19))</f>
        <v/>
      </c>
      <c r="S19" s="14">
        <f>R19*I19</f>
        <v/>
      </c>
    </row>
    <row r="20" ht="46" customHeight="1">
      <c r="A20" s="7" t="inlineStr">
        <is>
          <t>↑ photo</t>
        </is>
      </c>
      <c r="B20" s="20" t="inlineStr">
        <is>
          <t>NM-26S-TOP-ST02</t>
        </is>
      </c>
      <c r="C20" s="21" t="inlineStr">
        <is>
          <t>Classic Fit Top</t>
        </is>
      </c>
      <c r="D20" s="22" t="inlineStr">
        <is>
          <t>클래식핏 (스트라이프)</t>
        </is>
      </c>
      <c r="E20" s="11" t="inlineStr">
        <is>
          <t>TOP</t>
        </is>
      </c>
      <c r="F20" s="23" t="inlineStr">
        <is>
          <t>Stripe</t>
        </is>
      </c>
      <c r="G20" s="24" t="inlineStr">
        <is>
          <t>—</t>
        </is>
      </c>
      <c r="H20" s="25" t="inlineStr">
        <is>
          <t>Classic fit top in stripe pattern.</t>
        </is>
      </c>
      <c r="I20" s="14" t="n">
        <v>30</v>
      </c>
      <c r="J20" s="26" t="n">
        <v>57</v>
      </c>
      <c r="K20" s="28" t="inlineStr">
        <is>
          <t>Pre-Order</t>
        </is>
      </c>
      <c r="L20" s="17" t="inlineStr">
        <is>
          <t>✕</t>
        </is>
      </c>
      <c r="M20" s="27" t="inlineStr">
        <is>
          <t>—</t>
        </is>
      </c>
      <c r="N20" s="27" t="inlineStr">
        <is>
          <t>—</t>
        </is>
      </c>
      <c r="O20" s="27" t="inlineStr">
        <is>
          <t>—</t>
        </is>
      </c>
      <c r="P20" s="27" t="inlineStr">
        <is>
          <t>—</t>
        </is>
      </c>
      <c r="Q20" s="27" t="inlineStr">
        <is>
          <t>—</t>
        </is>
      </c>
      <c r="R20" s="19">
        <f>SUMPRODUCT((L20:Q20&gt;0)*(L20:Q20))</f>
        <v/>
      </c>
      <c r="S20" s="14">
        <f>R20*I20</f>
        <v/>
      </c>
    </row>
    <row r="21" ht="20" customHeight="1">
      <c r="A21" s="29" t="inlineStr">
        <is>
          <t xml:space="preserve">  ▸  BOTTOMS</t>
        </is>
      </c>
    </row>
    <row r="22" ht="46" customHeight="1">
      <c r="A22" s="7" t="inlineStr">
        <is>
          <t>↑ photo</t>
        </is>
      </c>
      <c r="B22" s="20" t="inlineStr">
        <is>
          <t>NM-26S-BOT-SD01</t>
        </is>
      </c>
      <c r="C22" s="21" t="inlineStr">
        <is>
          <t>Rib Jogger Pants</t>
        </is>
      </c>
      <c r="D22" s="22" t="inlineStr">
        <is>
          <t>골지조거바지</t>
        </is>
      </c>
      <c r="E22" s="30" t="inlineStr">
        <is>
          <t>BOT</t>
        </is>
      </c>
      <c r="F22" s="23" t="inlineStr">
        <is>
          <t>2-Color</t>
        </is>
      </c>
      <c r="G22" s="24" t="inlineStr">
        <is>
          <t>—</t>
        </is>
      </c>
      <c r="H22" s="25" t="inlineStr">
        <is>
          <t>Ribbed jogger pants, comes in 2-color set.</t>
        </is>
      </c>
      <c r="I22" s="14" t="n">
        <v>19</v>
      </c>
      <c r="J22" s="26" t="n">
        <v>38</v>
      </c>
      <c r="K22" s="16" t="inlineStr">
        <is>
          <t>✓  72 pcs</t>
        </is>
      </c>
      <c r="L22" s="17" t="inlineStr">
        <is>
          <t>✕</t>
        </is>
      </c>
      <c r="M22" s="27" t="inlineStr">
        <is>
          <t>—</t>
        </is>
      </c>
      <c r="N22" s="18" t="n"/>
      <c r="O22" s="18" t="n"/>
      <c r="P22" s="27" t="inlineStr">
        <is>
          <t>—</t>
        </is>
      </c>
      <c r="Q22" s="18" t="n"/>
      <c r="R22" s="19">
        <f>SUMPRODUCT((L22:Q22&gt;0)*(L22:Q22))</f>
        <v/>
      </c>
      <c r="S22" s="14">
        <f>R22*I22</f>
        <v/>
      </c>
    </row>
    <row r="23" ht="20" customHeight="1">
      <c r="A23" s="31" t="inlineStr">
        <is>
          <t xml:space="preserve">  ▸  SETS</t>
        </is>
      </c>
    </row>
    <row r="24" ht="46" customHeight="1">
      <c r="A24" s="7" t="inlineStr">
        <is>
          <t>↑ photo</t>
        </is>
      </c>
      <c r="B24" s="20" t="inlineStr">
        <is>
          <t>NM-26S-SET-MX01</t>
        </is>
      </c>
      <c r="C24" s="21" t="inlineStr">
        <is>
          <t>Little Palette Set v2</t>
        </is>
      </c>
      <c r="D24" s="22" t="inlineStr">
        <is>
          <t>뉴리틀팔레트 세트</t>
        </is>
      </c>
      <c r="E24" s="32" t="inlineStr">
        <is>
          <t>SET</t>
        </is>
      </c>
      <c r="F24" s="23" t="inlineStr">
        <is>
          <t>Amsterdam</t>
        </is>
      </c>
      <c r="G24" s="24" t="inlineStr">
        <is>
          <t>—</t>
        </is>
      </c>
      <c r="H24" s="25" t="inlineStr">
        <is>
          <t>Playful colorblock matching set.</t>
        </is>
      </c>
      <c r="I24" s="14" t="n">
        <v>39</v>
      </c>
      <c r="J24" s="26" t="n">
        <v>86</v>
      </c>
      <c r="K24" s="16" t="inlineStr">
        <is>
          <t>✓  54 pcs</t>
        </is>
      </c>
      <c r="L24" s="17" t="inlineStr">
        <is>
          <t>✕</t>
        </is>
      </c>
      <c r="M24" s="18" t="n"/>
      <c r="N24" s="18" t="n"/>
      <c r="O24" s="18" t="n"/>
      <c r="P24" s="18" t="n"/>
      <c r="Q24" s="18" t="n"/>
      <c r="R24" s="19">
        <f>SUMPRODUCT((L24:Q24&gt;0)*(L24:Q24))</f>
        <v/>
      </c>
      <c r="S24" s="14">
        <f>R24*I24</f>
        <v/>
      </c>
    </row>
    <row r="25" ht="46" customHeight="1">
      <c r="A25" s="7" t="inlineStr">
        <is>
          <t>↑ photo</t>
        </is>
      </c>
      <c r="B25" s="8" t="inlineStr">
        <is>
          <t>NM-26S-SET-ST01</t>
        </is>
      </c>
      <c r="C25" s="9" t="inlineStr">
        <is>
          <t>Cardigan &amp; Soft Jogger Set</t>
        </is>
      </c>
      <c r="D25" s="10" t="inlineStr">
        <is>
          <t>스트라이프 가디건 세트</t>
        </is>
      </c>
      <c r="E25" s="32" t="inlineStr">
        <is>
          <t>SET</t>
        </is>
      </c>
      <c r="F25" s="4" t="inlineStr">
        <is>
          <t>Baby Blue</t>
        </is>
      </c>
      <c r="G25" s="12" t="inlineStr">
        <is>
          <t>—</t>
        </is>
      </c>
      <c r="H25" s="13" t="inlineStr">
        <is>
          <t>Stripe cardigan and soft jogger pants set.</t>
        </is>
      </c>
      <c r="I25" s="14" t="n">
        <v>32</v>
      </c>
      <c r="J25" s="15" t="n">
        <v>64</v>
      </c>
      <c r="K25" s="16" t="inlineStr">
        <is>
          <t>✓  85 pcs</t>
        </is>
      </c>
      <c r="L25" s="17" t="inlineStr">
        <is>
          <t>✕</t>
        </is>
      </c>
      <c r="M25" s="18" t="n"/>
      <c r="N25" s="18" t="n"/>
      <c r="O25" s="18" t="n"/>
      <c r="P25" s="17" t="inlineStr">
        <is>
          <t>✕</t>
        </is>
      </c>
      <c r="Q25" s="17" t="inlineStr">
        <is>
          <t>✕</t>
        </is>
      </c>
      <c r="R25" s="19">
        <f>SUMPRODUCT((L25:Q25&gt;0)*(L25:Q25))</f>
        <v/>
      </c>
      <c r="S25" s="14">
        <f>R25*I25</f>
        <v/>
      </c>
    </row>
    <row r="26" ht="46" customHeight="1">
      <c r="A26" s="7" t="inlineStr">
        <is>
          <t>↑ photo</t>
        </is>
      </c>
      <c r="B26" s="20" t="inlineStr">
        <is>
          <t>NM-26S-SET-ST01</t>
        </is>
      </c>
      <c r="C26" s="21" t="inlineStr">
        <is>
          <t>Cardigan &amp; Soft Jogger Set</t>
        </is>
      </c>
      <c r="D26" s="22" t="inlineStr">
        <is>
          <t>스트라이프 가디건 세트</t>
        </is>
      </c>
      <c r="E26" s="32" t="inlineStr">
        <is>
          <t>SET</t>
        </is>
      </c>
      <c r="F26" s="23" t="inlineStr">
        <is>
          <t>Baby Pink</t>
        </is>
      </c>
      <c r="G26" s="24" t="inlineStr">
        <is>
          <t>—</t>
        </is>
      </c>
      <c r="H26" s="25" t="inlineStr">
        <is>
          <t>Stripe cardigan and soft jogger pants set.</t>
        </is>
      </c>
      <c r="I26" s="14" t="n">
        <v>32</v>
      </c>
      <c r="J26" s="26" t="n">
        <v>64</v>
      </c>
      <c r="K26" s="16" t="inlineStr">
        <is>
          <t>✓  65 pcs</t>
        </is>
      </c>
      <c r="L26" s="17" t="inlineStr">
        <is>
          <t>✕</t>
        </is>
      </c>
      <c r="M26" s="18" t="n"/>
      <c r="N26" s="18" t="n"/>
      <c r="O26" s="18" t="n"/>
      <c r="P26" s="17" t="inlineStr">
        <is>
          <t>✕</t>
        </is>
      </c>
      <c r="Q26" s="17" t="inlineStr">
        <is>
          <t>✕</t>
        </is>
      </c>
      <c r="R26" s="19">
        <f>SUMPRODUCT((L26:Q26&gt;0)*(L26:Q26))</f>
        <v/>
      </c>
      <c r="S26" s="14">
        <f>R26*I26</f>
        <v/>
      </c>
    </row>
    <row r="27" ht="46" customHeight="1">
      <c r="A27" s="7" t="inlineStr">
        <is>
          <t>↑ photo</t>
        </is>
      </c>
      <c r="B27" s="8" t="inlineStr">
        <is>
          <t>NM-26S-SET-ST02</t>
        </is>
      </c>
      <c r="C27" s="9" t="inlineStr">
        <is>
          <t>Stripe Collar Set</t>
        </is>
      </c>
      <c r="D27" s="10" t="inlineStr">
        <is>
          <t>스트라이프 카라 세트</t>
        </is>
      </c>
      <c r="E27" s="32" t="inlineStr">
        <is>
          <t>SET</t>
        </is>
      </c>
      <c r="F27" s="4" t="inlineStr">
        <is>
          <t>Stripe</t>
        </is>
      </c>
      <c r="G27" s="12" t="inlineStr">
        <is>
          <t>—</t>
        </is>
      </c>
      <c r="H27" s="13" t="inlineStr">
        <is>
          <t>Collar top and pants set in stripe print.</t>
        </is>
      </c>
      <c r="I27" s="14" t="n">
        <v>41</v>
      </c>
      <c r="J27" s="15" t="n">
        <v>82</v>
      </c>
      <c r="K27" s="28" t="inlineStr">
        <is>
          <t>Pre-Order</t>
        </is>
      </c>
      <c r="L27" s="17" t="inlineStr">
        <is>
          <t>✕</t>
        </is>
      </c>
      <c r="M27" s="27" t="inlineStr">
        <is>
          <t>—</t>
        </is>
      </c>
      <c r="N27" s="27" t="inlineStr">
        <is>
          <t>—</t>
        </is>
      </c>
      <c r="O27" s="27" t="inlineStr">
        <is>
          <t>—</t>
        </is>
      </c>
      <c r="P27" s="27" t="inlineStr">
        <is>
          <t>—</t>
        </is>
      </c>
      <c r="Q27" s="27" t="inlineStr">
        <is>
          <t>—</t>
        </is>
      </c>
      <c r="R27" s="19">
        <f>SUMPRODUCT((L27:Q27&gt;0)*(L27:Q27))</f>
        <v/>
      </c>
      <c r="S27" s="14">
        <f>R27*I27</f>
        <v/>
      </c>
    </row>
    <row r="28" ht="20" customHeight="1">
      <c r="A28" s="33" t="inlineStr">
        <is>
          <t xml:space="preserve">  ▸  OUTERWEAR</t>
        </is>
      </c>
    </row>
    <row r="29" ht="46" customHeight="1">
      <c r="A29" s="7" t="inlineStr">
        <is>
          <t>↑ photo</t>
        </is>
      </c>
      <c r="B29" s="8" t="inlineStr">
        <is>
          <t>NM-26S-OTR-MX01</t>
        </is>
      </c>
      <c r="C29" s="9" t="inlineStr">
        <is>
          <t>Hoodie Jumper</t>
        </is>
      </c>
      <c r="D29" s="10" t="inlineStr">
        <is>
          <t>후드점퍼</t>
        </is>
      </c>
      <c r="E29" s="34" t="inlineStr">
        <is>
          <t>OTR</t>
        </is>
      </c>
      <c r="F29" s="4" t="inlineStr">
        <is>
          <t>Soft Grey</t>
        </is>
      </c>
      <c r="G29" s="12" t="inlineStr">
        <is>
          <t>—</t>
        </is>
      </c>
      <c r="H29" s="13" t="inlineStr">
        <is>
          <t>Cozy cotton zip-up hoodie with kangaroo pocket.</t>
        </is>
      </c>
      <c r="I29" s="14" t="n">
        <v>37</v>
      </c>
      <c r="J29" s="15" t="n">
        <v>67</v>
      </c>
      <c r="K29" s="16" t="inlineStr">
        <is>
          <t>✓  25 pcs</t>
        </is>
      </c>
      <c r="L29" s="17" t="inlineStr">
        <is>
          <t>✕</t>
        </is>
      </c>
      <c r="M29" s="18" t="n"/>
      <c r="N29" s="18" t="n"/>
      <c r="O29" s="18" t="n"/>
      <c r="P29" s="27" t="inlineStr">
        <is>
          <t>—</t>
        </is>
      </c>
      <c r="Q29" s="18" t="n"/>
      <c r="R29" s="19">
        <f>SUMPRODUCT((L29:Q29&gt;0)*(L29:Q29))</f>
        <v/>
      </c>
      <c r="S29" s="14">
        <f>R29*I29</f>
        <v/>
      </c>
    </row>
    <row r="30" ht="20" customHeight="1">
      <c r="A30" s="35" t="inlineStr">
        <is>
          <t xml:space="preserve">  ▸  ACCESSORIES</t>
        </is>
      </c>
    </row>
    <row r="31" ht="46" customHeight="1">
      <c r="A31" s="7" t="inlineStr">
        <is>
          <t>↑ photo</t>
        </is>
      </c>
      <c r="B31" s="8" t="inlineStr">
        <is>
          <t>NM-26S-ACC-SD01</t>
        </is>
      </c>
      <c r="C31" s="9" t="inlineStr">
        <is>
          <t>Ball Cap</t>
        </is>
      </c>
      <c r="D31" s="10" t="inlineStr">
        <is>
          <t>볼캡</t>
        </is>
      </c>
      <c r="E31" s="36" t="inlineStr">
        <is>
          <t>ACC</t>
        </is>
      </c>
      <c r="F31" s="4" t="inlineStr">
        <is>
          <t>Lavender</t>
        </is>
      </c>
      <c r="G31" s="12" t="inlineStr">
        <is>
          <t>—</t>
        </is>
      </c>
      <c r="H31" s="13" t="inlineStr">
        <is>
          <t>Relaxed fit ball cap with numo branding.</t>
        </is>
      </c>
      <c r="I31" s="14" t="n">
        <v>27</v>
      </c>
      <c r="J31" s="15" t="n">
        <v>44</v>
      </c>
      <c r="K31" s="16" t="inlineStr">
        <is>
          <t>✓  22 pcs</t>
        </is>
      </c>
      <c r="L31" s="18" t="n"/>
      <c r="M31" s="17" t="inlineStr">
        <is>
          <t>✕</t>
        </is>
      </c>
      <c r="N31" s="17" t="inlineStr">
        <is>
          <t>✕</t>
        </is>
      </c>
      <c r="O31" s="17" t="inlineStr">
        <is>
          <t>✕</t>
        </is>
      </c>
      <c r="P31" s="17" t="inlineStr">
        <is>
          <t>✕</t>
        </is>
      </c>
      <c r="Q31" s="17" t="inlineStr">
        <is>
          <t>✕</t>
        </is>
      </c>
      <c r="R31" s="19">
        <f>SUMPRODUCT((L31:Q31&gt;0)*(L31:Q31))</f>
        <v/>
      </c>
      <c r="S31" s="14">
        <f>R31*I31</f>
        <v/>
      </c>
    </row>
    <row r="32" ht="46" customHeight="1">
      <c r="A32" s="7" t="inlineStr">
        <is>
          <t>↑ photo</t>
        </is>
      </c>
      <c r="B32" s="20" t="inlineStr">
        <is>
          <t>NM-26S-ACC-SD01</t>
        </is>
      </c>
      <c r="C32" s="21" t="inlineStr">
        <is>
          <t>Ball Cap</t>
        </is>
      </c>
      <c r="D32" s="22" t="inlineStr">
        <is>
          <t>볼캡</t>
        </is>
      </c>
      <c r="E32" s="36" t="inlineStr">
        <is>
          <t>ACC</t>
        </is>
      </c>
      <c r="F32" s="23" t="inlineStr">
        <is>
          <t>Lemon Cream</t>
        </is>
      </c>
      <c r="G32" s="24" t="inlineStr">
        <is>
          <t>—</t>
        </is>
      </c>
      <c r="H32" s="25" t="inlineStr">
        <is>
          <t>Relaxed fit ball cap with numo branding.</t>
        </is>
      </c>
      <c r="I32" s="14" t="n">
        <v>27</v>
      </c>
      <c r="J32" s="26" t="n">
        <v>44</v>
      </c>
      <c r="K32" s="16" t="inlineStr">
        <is>
          <t>✓  24 pcs</t>
        </is>
      </c>
      <c r="L32" s="18" t="n"/>
      <c r="M32" s="17" t="inlineStr">
        <is>
          <t>✕</t>
        </is>
      </c>
      <c r="N32" s="17" t="inlineStr">
        <is>
          <t>✕</t>
        </is>
      </c>
      <c r="O32" s="17" t="inlineStr">
        <is>
          <t>✕</t>
        </is>
      </c>
      <c r="P32" s="17" t="inlineStr">
        <is>
          <t>✕</t>
        </is>
      </c>
      <c r="Q32" s="17" t="inlineStr">
        <is>
          <t>✕</t>
        </is>
      </c>
      <c r="R32" s="19">
        <f>SUMPRODUCT((L32:Q32&gt;0)*(L32:Q32))</f>
        <v/>
      </c>
      <c r="S32" s="14">
        <f>R32*I32</f>
        <v/>
      </c>
    </row>
    <row r="33" ht="46" customHeight="1">
      <c r="A33" s="7" t="inlineStr">
        <is>
          <t>↑ photo</t>
        </is>
      </c>
      <c r="B33" s="8" t="inlineStr">
        <is>
          <t>NM-26S-ACC-ST01</t>
        </is>
      </c>
      <c r="C33" s="9" t="inlineStr">
        <is>
          <t>Stripe Bonnet</t>
        </is>
      </c>
      <c r="D33" s="10" t="inlineStr">
        <is>
          <t>스트라이프 귀보넷</t>
        </is>
      </c>
      <c r="E33" s="36" t="inlineStr">
        <is>
          <t>ACC</t>
        </is>
      </c>
      <c r="F33" s="4" t="inlineStr">
        <is>
          <t>Baby Blue</t>
        </is>
      </c>
      <c r="G33" s="12" t="inlineStr">
        <is>
          <t>—</t>
        </is>
      </c>
      <c r="H33" s="13" t="inlineStr">
        <is>
          <t>Soft stripe bonnet with ear coverage.</t>
        </is>
      </c>
      <c r="I33" s="14" t="n">
        <v>11</v>
      </c>
      <c r="J33" s="15" t="n">
        <v>28</v>
      </c>
      <c r="K33" s="16" t="inlineStr">
        <is>
          <t>✓  38 pcs</t>
        </is>
      </c>
      <c r="L33" s="18" t="n"/>
      <c r="M33" s="17" t="inlineStr">
        <is>
          <t>✕</t>
        </is>
      </c>
      <c r="N33" s="17" t="inlineStr">
        <is>
          <t>✕</t>
        </is>
      </c>
      <c r="O33" s="17" t="inlineStr">
        <is>
          <t>✕</t>
        </is>
      </c>
      <c r="P33" s="17" t="inlineStr">
        <is>
          <t>✕</t>
        </is>
      </c>
      <c r="Q33" s="17" t="inlineStr">
        <is>
          <t>✕</t>
        </is>
      </c>
      <c r="R33" s="19">
        <f>SUMPRODUCT((L33:Q33&gt;0)*(L33:Q33))</f>
        <v/>
      </c>
      <c r="S33" s="14">
        <f>R33*I33</f>
        <v/>
      </c>
    </row>
    <row r="34" ht="46" customHeight="1">
      <c r="A34" s="7" t="inlineStr">
        <is>
          <t>↑ photo</t>
        </is>
      </c>
      <c r="B34" s="20" t="inlineStr">
        <is>
          <t>NM-26S-ACC-ST01</t>
        </is>
      </c>
      <c r="C34" s="21" t="inlineStr">
        <is>
          <t>Stripe Bonnet</t>
        </is>
      </c>
      <c r="D34" s="22" t="inlineStr">
        <is>
          <t>스트라이프 귀보넷</t>
        </is>
      </c>
      <c r="E34" s="36" t="inlineStr">
        <is>
          <t>ACC</t>
        </is>
      </c>
      <c r="F34" s="23" t="inlineStr">
        <is>
          <t>Baby Pink</t>
        </is>
      </c>
      <c r="G34" s="24" t="inlineStr">
        <is>
          <t>—</t>
        </is>
      </c>
      <c r="H34" s="25" t="inlineStr">
        <is>
          <t>Soft stripe bonnet with ear coverage.</t>
        </is>
      </c>
      <c r="I34" s="14" t="n">
        <v>11</v>
      </c>
      <c r="J34" s="26" t="n">
        <v>28</v>
      </c>
      <c r="K34" s="16" t="inlineStr">
        <is>
          <t>✓  34 pcs</t>
        </is>
      </c>
      <c r="L34" s="18" t="n"/>
      <c r="M34" s="17" t="inlineStr">
        <is>
          <t>✕</t>
        </is>
      </c>
      <c r="N34" s="17" t="inlineStr">
        <is>
          <t>✕</t>
        </is>
      </c>
      <c r="O34" s="17" t="inlineStr">
        <is>
          <t>✕</t>
        </is>
      </c>
      <c r="P34" s="17" t="inlineStr">
        <is>
          <t>✕</t>
        </is>
      </c>
      <c r="Q34" s="17" t="inlineStr">
        <is>
          <t>✕</t>
        </is>
      </c>
      <c r="R34" s="19">
        <f>SUMPRODUCT((L34:Q34&gt;0)*(L34:Q34))</f>
        <v/>
      </c>
      <c r="S34" s="14">
        <f>R34*I34</f>
        <v/>
      </c>
    </row>
    <row r="35" ht="28" customHeight="1">
      <c r="A35" s="37" t="inlineStr">
        <is>
          <t>ORDER TOTAL</t>
        </is>
      </c>
      <c r="R35" s="38">
        <f>SUM(R8:R34)</f>
        <v/>
      </c>
      <c r="S35" s="39">
        <f>SUM(S8:S34)</f>
        <v/>
      </c>
    </row>
    <row r="37" ht="16" customHeight="1">
      <c r="A37" s="40" t="inlineStr">
        <is>
          <t>GUIDE</t>
        </is>
      </c>
      <c r="B37" s="41" t="inlineStr">
        <is>
          <t>🟡 Yellow = Enter order qty</t>
        </is>
      </c>
      <c r="F37" s="42" t="inlineStr">
        <is>
          <t>✓ In Stock = Ready to ship</t>
        </is>
      </c>
      <c r="J37" s="43" t="inlineStr">
        <is>
          <t>Pre-Order = 8~10 weeks lead time</t>
        </is>
      </c>
      <c r="N37" s="44" t="inlineStr">
        <is>
          <t>— = Out of stock for this size</t>
        </is>
      </c>
    </row>
    <row r="38" ht="16" customHeight="1">
      <c r="A38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19">
    <mergeCell ref="A5:D5"/>
    <mergeCell ref="A23:S23"/>
    <mergeCell ref="A4:D4"/>
    <mergeCell ref="A8:S8"/>
    <mergeCell ref="F37:I37"/>
    <mergeCell ref="A38:S38"/>
    <mergeCell ref="A28:S28"/>
    <mergeCell ref="A30:S30"/>
    <mergeCell ref="J37:M37"/>
    <mergeCell ref="K4:M4"/>
    <mergeCell ref="A1:S1"/>
    <mergeCell ref="A35:Q35"/>
    <mergeCell ref="H4:J4"/>
    <mergeCell ref="N37:P37"/>
    <mergeCell ref="E5:S5"/>
    <mergeCell ref="E4:G4"/>
    <mergeCell ref="A21:S21"/>
    <mergeCell ref="B37:E37"/>
    <mergeCell ref="A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6" customWidth="1" min="4" max="4"/>
    <col width="6" customWidth="1" min="5" max="5"/>
    <col width="10" customWidth="1" min="6" max="6"/>
    <col width="7" customWidth="1" min="7" max="7"/>
    <col width="24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4" customWidth="1" min="18" max="18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21,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36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Korean Name</t>
        </is>
      </c>
      <c r="E7" s="5" t="inlineStr">
        <is>
          <t>Cat.</t>
        </is>
      </c>
      <c r="F7" s="5" t="inlineStr">
        <is>
          <t>Color</t>
        </is>
      </c>
      <c r="G7" s="5" t="inlineStr">
        <is>
          <t>Detail</t>
        </is>
      </c>
      <c r="H7" s="5" t="inlineStr">
        <is>
          <t>Description</t>
        </is>
      </c>
      <c r="I7" s="5" t="inlineStr">
        <is>
          <t>Wholesale
(USD)</t>
        </is>
      </c>
      <c r="J7" s="5" t="inlineStr">
        <is>
          <t>MSRP
(USD)</t>
        </is>
      </c>
      <c r="K7" s="5" t="inlineStr">
        <is>
          <t>Stock</t>
        </is>
      </c>
      <c r="L7" s="5" t="inlineStr">
        <is>
          <t>Qty
(80)</t>
        </is>
      </c>
      <c r="M7" s="5" t="inlineStr">
        <is>
          <t>Qty
(90)</t>
        </is>
      </c>
      <c r="N7" s="5" t="inlineStr">
        <is>
          <t>Qty
(100)</t>
        </is>
      </c>
      <c r="O7" s="5" t="inlineStr">
        <is>
          <t>Qty
(110)</t>
        </is>
      </c>
      <c r="P7" s="5" t="inlineStr">
        <is>
          <t>Qty
(120)</t>
        </is>
      </c>
      <c r="Q7" s="5" t="inlineStr">
        <is>
          <t>Total
Qty</t>
        </is>
      </c>
      <c r="R7" s="5" t="inlineStr">
        <is>
          <t>Total
Wholesale</t>
        </is>
      </c>
    </row>
    <row r="8" ht="20" customHeight="1">
      <c r="A8" s="6" t="inlineStr">
        <is>
          <t xml:space="preserve">  ▸  TOPS</t>
        </is>
      </c>
    </row>
    <row r="9" ht="46" customHeight="1">
      <c r="A9" s="7" t="inlineStr">
        <is>
          <t>↑ photo</t>
        </is>
      </c>
      <c r="B9" s="8" t="inlineStr">
        <is>
          <t>NM-26S-TOP-FL01</t>
        </is>
      </c>
      <c r="C9" s="9" t="inlineStr">
        <is>
          <t>Floral Cherie Set</t>
        </is>
      </c>
      <c r="D9" s="10" t="inlineStr">
        <is>
          <t>꽃쉐리</t>
        </is>
      </c>
      <c r="E9" s="11" t="inlineStr">
        <is>
          <t>TOP</t>
        </is>
      </c>
      <c r="F9" s="4" t="inlineStr">
        <is>
          <t>Light Grey</t>
        </is>
      </c>
      <c r="G9" s="12" t="inlineStr">
        <is>
          <t>—</t>
        </is>
      </c>
      <c r="H9" s="13" t="inlineStr">
        <is>
          <t>Floral print top with delicate details.</t>
        </is>
      </c>
      <c r="I9" s="14" t="n">
        <v>29</v>
      </c>
      <c r="J9" s="15" t="n">
        <v>64</v>
      </c>
      <c r="K9" s="16" t="inlineStr">
        <is>
          <t>✓  36 pcs</t>
        </is>
      </c>
      <c r="L9" s="18" t="n"/>
      <c r="M9" s="18" t="n"/>
      <c r="N9" s="18" t="n"/>
      <c r="O9" s="18" t="n"/>
      <c r="P9" s="18" t="n"/>
      <c r="Q9" s="19">
        <f>SUMPRODUCT((L9:P9&gt;0)*(L9:P9))</f>
        <v/>
      </c>
      <c r="R9" s="14">
        <f>Q9*I9</f>
        <v/>
      </c>
    </row>
    <row r="10" ht="46" customHeight="1">
      <c r="A10" s="7" t="inlineStr">
        <is>
          <t>↑ photo</t>
        </is>
      </c>
      <c r="B10" s="20" t="inlineStr">
        <is>
          <t>NM-26S-TOP-MX01</t>
        </is>
      </c>
      <c r="C10" s="21" t="inlineStr">
        <is>
          <t>Color Block Rib Top</t>
        </is>
      </c>
      <c r="D10" s="22" t="inlineStr">
        <is>
          <t>배색 시보리</t>
        </is>
      </c>
      <c r="E10" s="11" t="inlineStr">
        <is>
          <t>TOP</t>
        </is>
      </c>
      <c r="F10" s="23" t="inlineStr">
        <is>
          <t>Pink</t>
        </is>
      </c>
      <c r="G10" s="24" t="inlineStr">
        <is>
          <t>—</t>
        </is>
      </c>
      <c r="H10" s="25" t="inlineStr">
        <is>
          <t>Color block ribbed top with soft texture.</t>
        </is>
      </c>
      <c r="I10" s="14" t="n">
        <v>29</v>
      </c>
      <c r="J10" s="26" t="n">
        <v>70</v>
      </c>
      <c r="K10" s="16" t="inlineStr">
        <is>
          <t>✓  61 pcs</t>
        </is>
      </c>
      <c r="L10" s="27" t="inlineStr">
        <is>
          <t>—</t>
        </is>
      </c>
      <c r="M10" s="18" t="n"/>
      <c r="N10" s="18" t="n"/>
      <c r="O10" s="18" t="n"/>
      <c r="P10" s="18" t="n"/>
      <c r="Q10" s="19">
        <f>SUMPRODUCT((L10:P10&gt;0)*(L10:P10))</f>
        <v/>
      </c>
      <c r="R10" s="14">
        <f>Q10*I10</f>
        <v/>
      </c>
    </row>
    <row r="11" ht="46" customHeight="1">
      <c r="A11" s="7" t="inlineStr">
        <is>
          <t>↑ photo</t>
        </is>
      </c>
      <c r="B11" s="8" t="inlineStr">
        <is>
          <t>NM-26S-TOP-SD01</t>
        </is>
      </c>
      <c r="C11" s="9" t="inlineStr">
        <is>
          <t>Shoulder Slit 3/4 Top</t>
        </is>
      </c>
      <c r="D11" s="10" t="inlineStr">
        <is>
          <t>7부 어깨트임</t>
        </is>
      </c>
      <c r="E11" s="11" t="inlineStr">
        <is>
          <t>TOP</t>
        </is>
      </c>
      <c r="F11" s="4" t="inlineStr">
        <is>
          <t>Black</t>
        </is>
      </c>
      <c r="G11" s="12" t="inlineStr">
        <is>
          <t>—</t>
        </is>
      </c>
      <c r="H11" s="13" t="inlineStr">
        <is>
          <t>Soft modal top with shoulder slits.</t>
        </is>
      </c>
      <c r="I11" s="14" t="n">
        <v>27</v>
      </c>
      <c r="J11" s="15" t="n">
        <v>60</v>
      </c>
      <c r="K11" s="16" t="inlineStr">
        <is>
          <t>✓  6 pcs</t>
        </is>
      </c>
      <c r="L11" s="18" t="n"/>
      <c r="M11" s="18" t="n"/>
      <c r="N11" s="27" t="inlineStr">
        <is>
          <t>—</t>
        </is>
      </c>
      <c r="O11" s="17" t="inlineStr">
        <is>
          <t>✕</t>
        </is>
      </c>
      <c r="P11" s="17" t="inlineStr">
        <is>
          <t>✕</t>
        </is>
      </c>
      <c r="Q11" s="19">
        <f>SUMPRODUCT((L11:P11&gt;0)*(L11:P11))</f>
        <v/>
      </c>
      <c r="R11" s="14">
        <f>Q11*I11</f>
        <v/>
      </c>
    </row>
    <row r="12" ht="46" customHeight="1">
      <c r="A12" s="7" t="inlineStr">
        <is>
          <t>↑ photo</t>
        </is>
      </c>
      <c r="B12" s="20" t="inlineStr">
        <is>
          <t>NM-26S-TOP-SD01</t>
        </is>
      </c>
      <c r="C12" s="21" t="inlineStr">
        <is>
          <t>Shoulder Slit 3/4 Top</t>
        </is>
      </c>
      <c r="D12" s="22" t="inlineStr">
        <is>
          <t>7부 어깨트임</t>
        </is>
      </c>
      <c r="E12" s="11" t="inlineStr">
        <is>
          <t>TOP</t>
        </is>
      </c>
      <c r="F12" s="23" t="inlineStr">
        <is>
          <t>Lemon</t>
        </is>
      </c>
      <c r="G12" s="24" t="inlineStr">
        <is>
          <t>—</t>
        </is>
      </c>
      <c r="H12" s="25" t="inlineStr">
        <is>
          <t>Soft modal top with shoulder slits.</t>
        </is>
      </c>
      <c r="I12" s="14" t="n">
        <v>27</v>
      </c>
      <c r="J12" s="26" t="n">
        <v>60</v>
      </c>
      <c r="K12" s="16" t="inlineStr">
        <is>
          <t>✓  7 pcs</t>
        </is>
      </c>
      <c r="L12" s="27" t="inlineStr">
        <is>
          <t>—</t>
        </is>
      </c>
      <c r="M12" s="18" t="n"/>
      <c r="N12" s="27" t="inlineStr">
        <is>
          <t>—</t>
        </is>
      </c>
      <c r="O12" s="17" t="inlineStr">
        <is>
          <t>✕</t>
        </is>
      </c>
      <c r="P12" s="17" t="inlineStr">
        <is>
          <t>✕</t>
        </is>
      </c>
      <c r="Q12" s="19">
        <f>SUMPRODUCT((L12:P12&gt;0)*(L12:P12))</f>
        <v/>
      </c>
      <c r="R12" s="14">
        <f>Q12*I12</f>
        <v/>
      </c>
    </row>
    <row r="13" ht="46" customHeight="1">
      <c r="A13" s="7" t="inlineStr">
        <is>
          <t>↑ photo</t>
        </is>
      </c>
      <c r="B13" s="8" t="inlineStr">
        <is>
          <t>NM-26S-TOP-SD01</t>
        </is>
      </c>
      <c r="C13" s="9" t="inlineStr">
        <is>
          <t>Shoulder Slit 3/4 Top</t>
        </is>
      </c>
      <c r="D13" s="10" t="inlineStr">
        <is>
          <t>7부 어깨트임</t>
        </is>
      </c>
      <c r="E13" s="11" t="inlineStr">
        <is>
          <t>TOP</t>
        </is>
      </c>
      <c r="F13" s="4" t="inlineStr">
        <is>
          <t>Purple</t>
        </is>
      </c>
      <c r="G13" s="12" t="inlineStr">
        <is>
          <t>—</t>
        </is>
      </c>
      <c r="H13" s="13" t="inlineStr">
        <is>
          <t>Soft modal top with shoulder slits.</t>
        </is>
      </c>
      <c r="I13" s="14" t="n">
        <v>27</v>
      </c>
      <c r="J13" s="15" t="n">
        <v>60</v>
      </c>
      <c r="K13" s="16" t="inlineStr">
        <is>
          <t>✓  22 pcs</t>
        </is>
      </c>
      <c r="L13" s="18" t="n"/>
      <c r="M13" s="18" t="n"/>
      <c r="N13" s="27" t="inlineStr">
        <is>
          <t>—</t>
        </is>
      </c>
      <c r="O13" s="17" t="inlineStr">
        <is>
          <t>✕</t>
        </is>
      </c>
      <c r="P13" s="17" t="inlineStr">
        <is>
          <t>✕</t>
        </is>
      </c>
      <c r="Q13" s="19">
        <f>SUMPRODUCT((L13:P13&gt;0)*(L13:P13))</f>
        <v/>
      </c>
      <c r="R13" s="14">
        <f>Q13*I13</f>
        <v/>
      </c>
    </row>
    <row r="14" ht="46" customHeight="1">
      <c r="A14" s="7" t="inlineStr">
        <is>
          <t>↑ photo</t>
        </is>
      </c>
      <c r="B14" s="20" t="inlineStr">
        <is>
          <t>NM-26S-TOP-SD02</t>
        </is>
      </c>
      <c r="C14" s="21" t="inlineStr">
        <is>
          <t>Classic Fit Top</t>
        </is>
      </c>
      <c r="D14" s="22" t="inlineStr">
        <is>
          <t>클래식핏 (메란지)</t>
        </is>
      </c>
      <c r="E14" s="11" t="inlineStr">
        <is>
          <t>TOP</t>
        </is>
      </c>
      <c r="F14" s="23" t="inlineStr">
        <is>
          <t>Melange Grey</t>
        </is>
      </c>
      <c r="G14" s="24" t="inlineStr">
        <is>
          <t>—</t>
        </is>
      </c>
      <c r="H14" s="25" t="inlineStr">
        <is>
          <t>Classic fit top in melange grey.</t>
        </is>
      </c>
      <c r="I14" s="14" t="n">
        <v>30</v>
      </c>
      <c r="J14" s="26" t="n">
        <v>57</v>
      </c>
      <c r="K14" s="16" t="inlineStr">
        <is>
          <t>✓  51 pcs</t>
        </is>
      </c>
      <c r="L14" s="18" t="n"/>
      <c r="M14" s="18" t="n"/>
      <c r="N14" s="18" t="n"/>
      <c r="O14" s="18" t="n"/>
      <c r="P14" s="18" t="n"/>
      <c r="Q14" s="19">
        <f>SUMPRODUCT((L14:P14&gt;0)*(L14:P14))</f>
        <v/>
      </c>
      <c r="R14" s="14">
        <f>Q14*I14</f>
        <v/>
      </c>
    </row>
    <row r="15" ht="46" customHeight="1">
      <c r="A15" s="7" t="inlineStr">
        <is>
          <t>↑ photo</t>
        </is>
      </c>
      <c r="B15" s="8" t="inlineStr">
        <is>
          <t>NM-26S-TOP-SD03</t>
        </is>
      </c>
      <c r="C15" s="9" t="inlineStr">
        <is>
          <t>Classic Fit Top</t>
        </is>
      </c>
      <c r="D15" s="10" t="inlineStr">
        <is>
          <t>클래식핏 (앞트임·셔링)</t>
        </is>
      </c>
      <c r="E15" s="11" t="inlineStr">
        <is>
          <t>TOP</t>
        </is>
      </c>
      <c r="F15" s="4" t="inlineStr">
        <is>
          <t>Purple</t>
        </is>
      </c>
      <c r="G15" s="12" t="inlineStr">
        <is>
          <t>Shirring</t>
        </is>
      </c>
      <c r="H15" s="13" t="inlineStr">
        <is>
          <t>Classic fit top, front slit with shirring.</t>
        </is>
      </c>
      <c r="I15" s="14" t="n">
        <v>29</v>
      </c>
      <c r="J15" s="15" t="n">
        <v>63</v>
      </c>
      <c r="K15" s="16" t="inlineStr">
        <is>
          <t>✓  21 pcs</t>
        </is>
      </c>
      <c r="L15" s="27" t="inlineStr">
        <is>
          <t>—</t>
        </is>
      </c>
      <c r="M15" s="27" t="inlineStr">
        <is>
          <t>—</t>
        </is>
      </c>
      <c r="N15" s="18" t="n"/>
      <c r="O15" s="27" t="inlineStr">
        <is>
          <t>—</t>
        </is>
      </c>
      <c r="P15" s="18" t="n"/>
      <c r="Q15" s="19">
        <f>SUMPRODUCT((L15:P15&gt;0)*(L15:P15))</f>
        <v/>
      </c>
      <c r="R15" s="14">
        <f>Q15*I15</f>
        <v/>
      </c>
    </row>
    <row r="16" ht="46" customHeight="1">
      <c r="A16" s="7" t="inlineStr">
        <is>
          <t>↑ photo</t>
        </is>
      </c>
      <c r="B16" s="20" t="inlineStr">
        <is>
          <t>NM-26S-TOP-SD03</t>
        </is>
      </c>
      <c r="C16" s="21" t="inlineStr">
        <is>
          <t>Classic Fit Top</t>
        </is>
      </c>
      <c r="D16" s="22" t="inlineStr">
        <is>
          <t>클래식핏 (앞트임·셔링)</t>
        </is>
      </c>
      <c r="E16" s="11" t="inlineStr">
        <is>
          <t>TOP</t>
        </is>
      </c>
      <c r="F16" s="23" t="inlineStr">
        <is>
          <t>Yellow</t>
        </is>
      </c>
      <c r="G16" s="24" t="inlineStr">
        <is>
          <t>Shirring</t>
        </is>
      </c>
      <c r="H16" s="25" t="inlineStr">
        <is>
          <t>Classic fit top, front slit with shirring.</t>
        </is>
      </c>
      <c r="I16" s="14" t="n">
        <v>29</v>
      </c>
      <c r="J16" s="26" t="n">
        <v>63</v>
      </c>
      <c r="K16" s="16" t="inlineStr">
        <is>
          <t>✓  47 pcs</t>
        </is>
      </c>
      <c r="L16" s="18" t="n"/>
      <c r="M16" s="18" t="n"/>
      <c r="N16" s="18" t="n"/>
      <c r="O16" s="18" t="n"/>
      <c r="P16" s="18" t="n"/>
      <c r="Q16" s="19">
        <f>SUMPRODUCT((L16:P16&gt;0)*(L16:P16))</f>
        <v/>
      </c>
      <c r="R16" s="14">
        <f>Q16*I16</f>
        <v/>
      </c>
    </row>
    <row r="17" ht="46" customHeight="1">
      <c r="A17" s="7" t="inlineStr">
        <is>
          <t>↑ photo</t>
        </is>
      </c>
      <c r="B17" s="8" t="inlineStr">
        <is>
          <t>NM-26S-TOP-SD04</t>
        </is>
      </c>
      <c r="C17" s="9" t="inlineStr">
        <is>
          <t>Classic Fit Top</t>
        </is>
      </c>
      <c r="D17" s="10" t="inlineStr">
        <is>
          <t>클래식핏 (앞트임·랍바)</t>
        </is>
      </c>
      <c r="E17" s="11" t="inlineStr">
        <is>
          <t>TOP</t>
        </is>
      </c>
      <c r="F17" s="4" t="inlineStr">
        <is>
          <t>Purple</t>
        </is>
      </c>
      <c r="G17" s="12" t="inlineStr">
        <is>
          <t>Ruffle</t>
        </is>
      </c>
      <c r="H17" s="13" t="inlineStr">
        <is>
          <t>Classic fit top, front slit with ruffle.</t>
        </is>
      </c>
      <c r="I17" s="14" t="n">
        <v>29</v>
      </c>
      <c r="J17" s="15" t="n">
        <v>63</v>
      </c>
      <c r="K17" s="16" t="inlineStr">
        <is>
          <t>✓  51 pcs</t>
        </is>
      </c>
      <c r="L17" s="18" t="n"/>
      <c r="M17" s="18" t="n"/>
      <c r="N17" s="18" t="n"/>
      <c r="O17" s="18" t="n"/>
      <c r="P17" s="18" t="n"/>
      <c r="Q17" s="19">
        <f>SUMPRODUCT((L17:P17&gt;0)*(L17:P17))</f>
        <v/>
      </c>
      <c r="R17" s="14">
        <f>Q17*I17</f>
        <v/>
      </c>
    </row>
    <row r="18" ht="46" customHeight="1">
      <c r="A18" s="7" t="inlineStr">
        <is>
          <t>↑ photo</t>
        </is>
      </c>
      <c r="B18" s="20" t="inlineStr">
        <is>
          <t>NM-26S-TOP-SD04</t>
        </is>
      </c>
      <c r="C18" s="21" t="inlineStr">
        <is>
          <t>Classic Fit Top</t>
        </is>
      </c>
      <c r="D18" s="22" t="inlineStr">
        <is>
          <t>클래식핏 (앞트임·랍바)</t>
        </is>
      </c>
      <c r="E18" s="11" t="inlineStr">
        <is>
          <t>TOP</t>
        </is>
      </c>
      <c r="F18" s="23" t="inlineStr">
        <is>
          <t>Yellow</t>
        </is>
      </c>
      <c r="G18" s="24" t="inlineStr">
        <is>
          <t>Ruffle</t>
        </is>
      </c>
      <c r="H18" s="25" t="inlineStr">
        <is>
          <t>Classic fit top, front slit with ruffle.</t>
        </is>
      </c>
      <c r="I18" s="14" t="n">
        <v>29</v>
      </c>
      <c r="J18" s="26" t="n">
        <v>63</v>
      </c>
      <c r="K18" s="16" t="inlineStr">
        <is>
          <t>✓  37 pcs</t>
        </is>
      </c>
      <c r="L18" s="18" t="n"/>
      <c r="M18" s="18" t="n"/>
      <c r="N18" s="18" t="n"/>
      <c r="O18" s="18" t="n"/>
      <c r="P18" s="18" t="n"/>
      <c r="Q18" s="19">
        <f>SUMPRODUCT((L18:P18&gt;0)*(L18:P18))</f>
        <v/>
      </c>
      <c r="R18" s="14">
        <f>Q18*I18</f>
        <v/>
      </c>
    </row>
    <row r="19" ht="46" customHeight="1">
      <c r="A19" s="7" t="inlineStr">
        <is>
          <t>↑ photo</t>
        </is>
      </c>
      <c r="B19" s="8" t="inlineStr">
        <is>
          <t>NM-26S-TOP-ST01</t>
        </is>
      </c>
      <c r="C19" s="9" t="inlineStr">
        <is>
          <t>Stripe Bodysuit</t>
        </is>
      </c>
      <c r="D19" s="10" t="inlineStr">
        <is>
          <t>스트라이프 바디수트</t>
        </is>
      </c>
      <c r="E19" s="11" t="inlineStr">
        <is>
          <t>TOP</t>
        </is>
      </c>
      <c r="F19" s="4" t="inlineStr">
        <is>
          <t>Stripe</t>
        </is>
      </c>
      <c r="G19" s="12" t="inlineStr">
        <is>
          <t>—</t>
        </is>
      </c>
      <c r="H19" s="13" t="inlineStr">
        <is>
          <t>Classic stripe bodysuit with snap buttons.</t>
        </is>
      </c>
      <c r="I19" s="14" t="n">
        <v>21</v>
      </c>
      <c r="J19" s="15" t="n">
        <v>46</v>
      </c>
      <c r="K19" s="28" t="inlineStr">
        <is>
          <t>Pre-Order</t>
        </is>
      </c>
      <c r="L19" s="27" t="inlineStr">
        <is>
          <t>—</t>
        </is>
      </c>
      <c r="M19" s="27" t="inlineStr">
        <is>
          <t>—</t>
        </is>
      </c>
      <c r="N19" s="27" t="inlineStr">
        <is>
          <t>—</t>
        </is>
      </c>
      <c r="O19" s="27" t="inlineStr">
        <is>
          <t>—</t>
        </is>
      </c>
      <c r="P19" s="27" t="inlineStr">
        <is>
          <t>—</t>
        </is>
      </c>
      <c r="Q19" s="19">
        <f>SUMPRODUCT((L19:P19&gt;0)*(L19:P19))</f>
        <v/>
      </c>
      <c r="R19" s="14">
        <f>Q19*I19</f>
        <v/>
      </c>
    </row>
    <row r="20" ht="46" customHeight="1">
      <c r="A20" s="7" t="inlineStr">
        <is>
          <t>↑ photo</t>
        </is>
      </c>
      <c r="B20" s="20" t="inlineStr">
        <is>
          <t>NM-26S-TOP-ST02</t>
        </is>
      </c>
      <c r="C20" s="21" t="inlineStr">
        <is>
          <t>Classic Fit Top</t>
        </is>
      </c>
      <c r="D20" s="22" t="inlineStr">
        <is>
          <t>클래식핏 (스트라이프)</t>
        </is>
      </c>
      <c r="E20" s="11" t="inlineStr">
        <is>
          <t>TOP</t>
        </is>
      </c>
      <c r="F20" s="23" t="inlineStr">
        <is>
          <t>Stripe</t>
        </is>
      </c>
      <c r="G20" s="24" t="inlineStr">
        <is>
          <t>—</t>
        </is>
      </c>
      <c r="H20" s="25" t="inlineStr">
        <is>
          <t>Classic fit top in stripe pattern.</t>
        </is>
      </c>
      <c r="I20" s="14" t="n">
        <v>30</v>
      </c>
      <c r="J20" s="26" t="n">
        <v>57</v>
      </c>
      <c r="K20" s="28" t="inlineStr">
        <is>
          <t>Pre-Order</t>
        </is>
      </c>
      <c r="L20" s="27" t="inlineStr">
        <is>
          <t>—</t>
        </is>
      </c>
      <c r="M20" s="27" t="inlineStr">
        <is>
          <t>—</t>
        </is>
      </c>
      <c r="N20" s="27" t="inlineStr">
        <is>
          <t>—</t>
        </is>
      </c>
      <c r="O20" s="27" t="inlineStr">
        <is>
          <t>—</t>
        </is>
      </c>
      <c r="P20" s="27" t="inlineStr">
        <is>
          <t>—</t>
        </is>
      </c>
      <c r="Q20" s="19">
        <f>SUMPRODUCT((L20:P20&gt;0)*(L20:P20))</f>
        <v/>
      </c>
      <c r="R20" s="14">
        <f>Q20*I20</f>
        <v/>
      </c>
    </row>
    <row r="21" ht="28" customHeight="1">
      <c r="A21" s="37" t="inlineStr">
        <is>
          <t>ORDER TOTAL</t>
        </is>
      </c>
      <c r="Q21" s="38">
        <f>SUM(Q8:Q20)</f>
        <v/>
      </c>
      <c r="R21" s="39">
        <f>SUM(R8:R20)</f>
        <v/>
      </c>
    </row>
    <row r="23" ht="16" customHeight="1">
      <c r="A23" s="40" t="inlineStr">
        <is>
          <t>GUIDE</t>
        </is>
      </c>
      <c r="B23" s="41" t="inlineStr">
        <is>
          <t>🟡 Yellow = Enter order qty</t>
        </is>
      </c>
      <c r="F23" s="42" t="inlineStr">
        <is>
          <t>✓ In Stock = Ready to ship</t>
        </is>
      </c>
      <c r="J23" s="43" t="inlineStr">
        <is>
          <t>Pre-Order = 8~10 weeks lead time</t>
        </is>
      </c>
      <c r="N23" s="44" t="inlineStr">
        <is>
          <t>— = Out of stock for this size</t>
        </is>
      </c>
    </row>
    <row r="24" ht="16" customHeight="1">
      <c r="A24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15">
    <mergeCell ref="A5:D5"/>
    <mergeCell ref="B23:E23"/>
    <mergeCell ref="F23:I23"/>
    <mergeCell ref="J23:M23"/>
    <mergeCell ref="A24:R24"/>
    <mergeCell ref="A2:R2"/>
    <mergeCell ref="A4:D4"/>
    <mergeCell ref="K4:M4"/>
    <mergeCell ref="H4:J4"/>
    <mergeCell ref="N23:P23"/>
    <mergeCell ref="E4:G4"/>
    <mergeCell ref="A1:R1"/>
    <mergeCell ref="A21:P21"/>
    <mergeCell ref="A8:R8"/>
    <mergeCell ref="E5:R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6" customWidth="1" min="4" max="4"/>
    <col width="6" customWidth="1" min="5" max="5"/>
    <col width="10" customWidth="1" min="6" max="6"/>
    <col width="7" customWidth="1" min="7" max="7"/>
    <col width="24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4" customWidth="1" min="18" max="18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21,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36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Korean Name</t>
        </is>
      </c>
      <c r="E7" s="5" t="inlineStr">
        <is>
          <t>Cat.</t>
        </is>
      </c>
      <c r="F7" s="5" t="inlineStr">
        <is>
          <t>Color</t>
        </is>
      </c>
      <c r="G7" s="5" t="inlineStr">
        <is>
          <t>Detail</t>
        </is>
      </c>
      <c r="H7" s="5" t="inlineStr">
        <is>
          <t>Description</t>
        </is>
      </c>
      <c r="I7" s="5" t="inlineStr">
        <is>
          <t>Wholesale
(USD)</t>
        </is>
      </c>
      <c r="J7" s="5" t="inlineStr">
        <is>
          <t>MSRP
(USD)</t>
        </is>
      </c>
      <c r="K7" s="5" t="inlineStr">
        <is>
          <t>Stock</t>
        </is>
      </c>
      <c r="L7" s="5" t="inlineStr">
        <is>
          <t>Qty
(80)</t>
        </is>
      </c>
      <c r="M7" s="5" t="inlineStr">
        <is>
          <t>Qty
(90)</t>
        </is>
      </c>
      <c r="N7" s="5" t="inlineStr">
        <is>
          <t>Qty
(100)</t>
        </is>
      </c>
      <c r="O7" s="5" t="inlineStr">
        <is>
          <t>Qty
(110)</t>
        </is>
      </c>
      <c r="P7" s="5" t="inlineStr">
        <is>
          <t>Qty
(120)</t>
        </is>
      </c>
      <c r="Q7" s="5" t="inlineStr">
        <is>
          <t>Total
Qty</t>
        </is>
      </c>
      <c r="R7" s="5" t="inlineStr">
        <is>
          <t>Total
Wholesale</t>
        </is>
      </c>
    </row>
    <row r="8" ht="20" customHeight="1">
      <c r="A8" s="31" t="inlineStr">
        <is>
          <t xml:space="preserve">  ▸  SETS</t>
        </is>
      </c>
    </row>
    <row r="9" ht="46" customHeight="1">
      <c r="A9" s="7" t="inlineStr">
        <is>
          <t>↑ photo</t>
        </is>
      </c>
      <c r="B9" s="8" t="inlineStr">
        <is>
          <t>NM-26S-SET-MX01</t>
        </is>
      </c>
      <c r="C9" s="9" t="inlineStr">
        <is>
          <t>Little Palette Set v2</t>
        </is>
      </c>
      <c r="D9" s="10" t="inlineStr">
        <is>
          <t>뉴리틀팔레트 세트</t>
        </is>
      </c>
      <c r="E9" s="32" t="inlineStr">
        <is>
          <t>SET</t>
        </is>
      </c>
      <c r="F9" s="4" t="inlineStr">
        <is>
          <t>Amsterdam</t>
        </is>
      </c>
      <c r="G9" s="12" t="inlineStr">
        <is>
          <t>—</t>
        </is>
      </c>
      <c r="H9" s="13" t="inlineStr">
        <is>
          <t>Playful colorblock matching set.</t>
        </is>
      </c>
      <c r="I9" s="14" t="n">
        <v>39</v>
      </c>
      <c r="J9" s="15" t="n">
        <v>86</v>
      </c>
      <c r="K9" s="16" t="inlineStr">
        <is>
          <t>✓  54 pcs</t>
        </is>
      </c>
      <c r="L9" s="18" t="n"/>
      <c r="M9" s="18" t="n"/>
      <c r="N9" s="18" t="n"/>
      <c r="O9" s="18" t="n"/>
      <c r="P9" s="18" t="n"/>
      <c r="Q9" s="19">
        <f>SUMPRODUCT((L9:P9&gt;0)*(L9:P9))</f>
        <v/>
      </c>
      <c r="R9" s="14">
        <f>Q9*I9</f>
        <v/>
      </c>
    </row>
    <row r="10" ht="46" customHeight="1">
      <c r="A10" s="7" t="inlineStr">
        <is>
          <t>↑ photo</t>
        </is>
      </c>
      <c r="B10" s="20" t="inlineStr">
        <is>
          <t>NM-26S-SET-ST01</t>
        </is>
      </c>
      <c r="C10" s="21" t="inlineStr">
        <is>
          <t>Cardigan &amp; Soft Jogger Set</t>
        </is>
      </c>
      <c r="D10" s="22" t="inlineStr">
        <is>
          <t>스트라이프 가디건 세트</t>
        </is>
      </c>
      <c r="E10" s="32" t="inlineStr">
        <is>
          <t>SET</t>
        </is>
      </c>
      <c r="F10" s="23" t="inlineStr">
        <is>
          <t>Baby Blue</t>
        </is>
      </c>
      <c r="G10" s="24" t="inlineStr">
        <is>
          <t>—</t>
        </is>
      </c>
      <c r="H10" s="25" t="inlineStr">
        <is>
          <t>Stripe cardigan and soft jogger pants set.</t>
        </is>
      </c>
      <c r="I10" s="14" t="n">
        <v>32</v>
      </c>
      <c r="J10" s="26" t="n">
        <v>64</v>
      </c>
      <c r="K10" s="16" t="inlineStr">
        <is>
          <t>✓  85 pcs</t>
        </is>
      </c>
      <c r="L10" s="18" t="n"/>
      <c r="M10" s="18" t="n"/>
      <c r="N10" s="18" t="n"/>
      <c r="O10" s="17" t="inlineStr">
        <is>
          <t>✕</t>
        </is>
      </c>
      <c r="P10" s="17" t="inlineStr">
        <is>
          <t>✕</t>
        </is>
      </c>
      <c r="Q10" s="19">
        <f>SUMPRODUCT((L10:P10&gt;0)*(L10:P10))</f>
        <v/>
      </c>
      <c r="R10" s="14">
        <f>Q10*I10</f>
        <v/>
      </c>
    </row>
    <row r="11" ht="46" customHeight="1">
      <c r="A11" s="7" t="inlineStr">
        <is>
          <t>↑ photo</t>
        </is>
      </c>
      <c r="B11" s="8" t="inlineStr">
        <is>
          <t>NM-26S-SET-ST01</t>
        </is>
      </c>
      <c r="C11" s="9" t="inlineStr">
        <is>
          <t>Cardigan &amp; Soft Jogger Set</t>
        </is>
      </c>
      <c r="D11" s="10" t="inlineStr">
        <is>
          <t>스트라이프 가디건 세트</t>
        </is>
      </c>
      <c r="E11" s="32" t="inlineStr">
        <is>
          <t>SET</t>
        </is>
      </c>
      <c r="F11" s="4" t="inlineStr">
        <is>
          <t>Baby Pink</t>
        </is>
      </c>
      <c r="G11" s="12" t="inlineStr">
        <is>
          <t>—</t>
        </is>
      </c>
      <c r="H11" s="13" t="inlineStr">
        <is>
          <t>Stripe cardigan and soft jogger pants set.</t>
        </is>
      </c>
      <c r="I11" s="14" t="n">
        <v>32</v>
      </c>
      <c r="J11" s="15" t="n">
        <v>64</v>
      </c>
      <c r="K11" s="16" t="inlineStr">
        <is>
          <t>✓  65 pcs</t>
        </is>
      </c>
      <c r="L11" s="18" t="n"/>
      <c r="M11" s="18" t="n"/>
      <c r="N11" s="18" t="n"/>
      <c r="O11" s="17" t="inlineStr">
        <is>
          <t>✕</t>
        </is>
      </c>
      <c r="P11" s="17" t="inlineStr">
        <is>
          <t>✕</t>
        </is>
      </c>
      <c r="Q11" s="19">
        <f>SUMPRODUCT((L11:P11&gt;0)*(L11:P11))</f>
        <v/>
      </c>
      <c r="R11" s="14">
        <f>Q11*I11</f>
        <v/>
      </c>
    </row>
    <row r="12" ht="46" customHeight="1">
      <c r="A12" s="7" t="inlineStr">
        <is>
          <t>↑ photo</t>
        </is>
      </c>
      <c r="B12" s="20" t="inlineStr">
        <is>
          <t>NM-26S-SET-ST02</t>
        </is>
      </c>
      <c r="C12" s="21" t="inlineStr">
        <is>
          <t>Stripe Collar Set</t>
        </is>
      </c>
      <c r="D12" s="22" t="inlineStr">
        <is>
          <t>스트라이프 카라 세트</t>
        </is>
      </c>
      <c r="E12" s="32" t="inlineStr">
        <is>
          <t>SET</t>
        </is>
      </c>
      <c r="F12" s="23" t="inlineStr">
        <is>
          <t>Stripe</t>
        </is>
      </c>
      <c r="G12" s="24" t="inlineStr">
        <is>
          <t>—</t>
        </is>
      </c>
      <c r="H12" s="25" t="inlineStr">
        <is>
          <t>Collar top and pants set in stripe print.</t>
        </is>
      </c>
      <c r="I12" s="14" t="n">
        <v>41</v>
      </c>
      <c r="J12" s="26" t="n">
        <v>82</v>
      </c>
      <c r="K12" s="28" t="inlineStr">
        <is>
          <t>Pre-Order</t>
        </is>
      </c>
      <c r="L12" s="27" t="inlineStr">
        <is>
          <t>—</t>
        </is>
      </c>
      <c r="M12" s="27" t="inlineStr">
        <is>
          <t>—</t>
        </is>
      </c>
      <c r="N12" s="27" t="inlineStr">
        <is>
          <t>—</t>
        </is>
      </c>
      <c r="O12" s="27" t="inlineStr">
        <is>
          <t>—</t>
        </is>
      </c>
      <c r="P12" s="27" t="inlineStr">
        <is>
          <t>—</t>
        </is>
      </c>
      <c r="Q12" s="19">
        <f>SUMPRODUCT((L12:P12&gt;0)*(L12:P12))</f>
        <v/>
      </c>
      <c r="R12" s="14">
        <f>Q12*I12</f>
        <v/>
      </c>
    </row>
    <row r="13" ht="28" customHeight="1">
      <c r="A13" s="37" t="inlineStr">
        <is>
          <t>ORDER TOTAL</t>
        </is>
      </c>
      <c r="Q13" s="38">
        <f>SUM(Q8:Q12)</f>
        <v/>
      </c>
      <c r="R13" s="39">
        <f>SUM(R8:R12)</f>
        <v/>
      </c>
    </row>
    <row r="15" ht="16" customHeight="1">
      <c r="A15" s="40" t="inlineStr">
        <is>
          <t>GUIDE</t>
        </is>
      </c>
      <c r="B15" s="41" t="inlineStr">
        <is>
          <t>🟡 Yellow = Enter order qty</t>
        </is>
      </c>
      <c r="F15" s="42" t="inlineStr">
        <is>
          <t>✓ In Stock = Ready to ship</t>
        </is>
      </c>
      <c r="J15" s="43" t="inlineStr">
        <is>
          <t>Pre-Order = 8~10 weeks lead time</t>
        </is>
      </c>
      <c r="N15" s="44" t="inlineStr">
        <is>
          <t>— = Out of stock for this size</t>
        </is>
      </c>
    </row>
    <row r="16" ht="16" customHeight="1">
      <c r="A16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15">
    <mergeCell ref="A5:D5"/>
    <mergeCell ref="N15:P15"/>
    <mergeCell ref="A13:P13"/>
    <mergeCell ref="A2:R2"/>
    <mergeCell ref="A4:D4"/>
    <mergeCell ref="K4:M4"/>
    <mergeCell ref="A16:R16"/>
    <mergeCell ref="H4:J4"/>
    <mergeCell ref="B15:E15"/>
    <mergeCell ref="F15:I15"/>
    <mergeCell ref="E4:G4"/>
    <mergeCell ref="A1:R1"/>
    <mergeCell ref="J15:M15"/>
    <mergeCell ref="A8:R8"/>
    <mergeCell ref="E5:R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6" customWidth="1" min="4" max="4"/>
    <col width="6" customWidth="1" min="5" max="5"/>
    <col width="10" customWidth="1" min="6" max="6"/>
    <col width="7" customWidth="1" min="7" max="7"/>
    <col width="24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4" customWidth="1" min="18" max="18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21,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36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Korean Name</t>
        </is>
      </c>
      <c r="E7" s="5" t="inlineStr">
        <is>
          <t>Cat.</t>
        </is>
      </c>
      <c r="F7" s="5" t="inlineStr">
        <is>
          <t>Color</t>
        </is>
      </c>
      <c r="G7" s="5" t="inlineStr">
        <is>
          <t>Detail</t>
        </is>
      </c>
      <c r="H7" s="5" t="inlineStr">
        <is>
          <t>Description</t>
        </is>
      </c>
      <c r="I7" s="5" t="inlineStr">
        <is>
          <t>Wholesale
(USD)</t>
        </is>
      </c>
      <c r="J7" s="5" t="inlineStr">
        <is>
          <t>MSRP
(USD)</t>
        </is>
      </c>
      <c r="K7" s="5" t="inlineStr">
        <is>
          <t>Stock</t>
        </is>
      </c>
      <c r="L7" s="5" t="inlineStr">
        <is>
          <t>Qty
(80)</t>
        </is>
      </c>
      <c r="M7" s="5" t="inlineStr">
        <is>
          <t>Qty
(90)</t>
        </is>
      </c>
      <c r="N7" s="5" t="inlineStr">
        <is>
          <t>Qty
(100)</t>
        </is>
      </c>
      <c r="O7" s="5" t="inlineStr">
        <is>
          <t>Qty
(110)</t>
        </is>
      </c>
      <c r="P7" s="5" t="inlineStr">
        <is>
          <t>Qty
(120)</t>
        </is>
      </c>
      <c r="Q7" s="5" t="inlineStr">
        <is>
          <t>Total
Qty</t>
        </is>
      </c>
      <c r="R7" s="5" t="inlineStr">
        <is>
          <t>Total
Wholesale</t>
        </is>
      </c>
    </row>
    <row r="8" ht="20" customHeight="1">
      <c r="A8" s="33" t="inlineStr">
        <is>
          <t xml:space="preserve">  ▸  OUTERWEAR</t>
        </is>
      </c>
    </row>
    <row r="9" ht="46" customHeight="1">
      <c r="A9" s="7" t="inlineStr">
        <is>
          <t>↑ photo</t>
        </is>
      </c>
      <c r="B9" s="8" t="inlineStr">
        <is>
          <t>NM-26S-OTR-MX01</t>
        </is>
      </c>
      <c r="C9" s="9" t="inlineStr">
        <is>
          <t>Hoodie Jumper</t>
        </is>
      </c>
      <c r="D9" s="10" t="inlineStr">
        <is>
          <t>후드점퍼</t>
        </is>
      </c>
      <c r="E9" s="34" t="inlineStr">
        <is>
          <t>OTR</t>
        </is>
      </c>
      <c r="F9" s="4" t="inlineStr">
        <is>
          <t>Soft Grey</t>
        </is>
      </c>
      <c r="G9" s="12" t="inlineStr">
        <is>
          <t>—</t>
        </is>
      </c>
      <c r="H9" s="13" t="inlineStr">
        <is>
          <t>Cozy cotton zip-up hoodie with kangaroo pocket.</t>
        </is>
      </c>
      <c r="I9" s="14" t="n">
        <v>37</v>
      </c>
      <c r="J9" s="15" t="n">
        <v>67</v>
      </c>
      <c r="K9" s="16" t="inlineStr">
        <is>
          <t>✓  25 pcs</t>
        </is>
      </c>
      <c r="L9" s="18" t="n"/>
      <c r="M9" s="18" t="n"/>
      <c r="N9" s="18" t="n"/>
      <c r="O9" s="27" t="inlineStr">
        <is>
          <t>—</t>
        </is>
      </c>
      <c r="P9" s="18" t="n"/>
      <c r="Q9" s="19">
        <f>SUMPRODUCT((L9:P9&gt;0)*(L9:P9))</f>
        <v/>
      </c>
      <c r="R9" s="14">
        <f>Q9*I9</f>
        <v/>
      </c>
    </row>
    <row r="10" ht="28" customHeight="1">
      <c r="A10" s="37" t="inlineStr">
        <is>
          <t>ORDER TOTAL</t>
        </is>
      </c>
      <c r="Q10" s="38">
        <f>SUM(Q8:Q9)</f>
        <v/>
      </c>
      <c r="R10" s="39">
        <f>SUM(R8:R9)</f>
        <v/>
      </c>
    </row>
    <row r="12" ht="16" customHeight="1">
      <c r="A12" s="40" t="inlineStr">
        <is>
          <t>GUIDE</t>
        </is>
      </c>
      <c r="B12" s="41" t="inlineStr">
        <is>
          <t>🟡 Yellow = Enter order qty</t>
        </is>
      </c>
      <c r="F12" s="42" t="inlineStr">
        <is>
          <t>✓ In Stock = Ready to ship</t>
        </is>
      </c>
      <c r="J12" s="43" t="inlineStr">
        <is>
          <t>Pre-Order = 8~10 weeks lead time</t>
        </is>
      </c>
      <c r="N12" s="44" t="inlineStr">
        <is>
          <t>— = Out of stock for this size</t>
        </is>
      </c>
    </row>
    <row r="13" ht="16" customHeight="1">
      <c r="A13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15">
    <mergeCell ref="A5:D5"/>
    <mergeCell ref="A10:P10"/>
    <mergeCell ref="A2:R2"/>
    <mergeCell ref="A4:D4"/>
    <mergeCell ref="K4:M4"/>
    <mergeCell ref="B12:E12"/>
    <mergeCell ref="N12:P12"/>
    <mergeCell ref="H4:J4"/>
    <mergeCell ref="F12:I12"/>
    <mergeCell ref="J12:M12"/>
    <mergeCell ref="A13:R13"/>
    <mergeCell ref="E4:G4"/>
    <mergeCell ref="A1:R1"/>
    <mergeCell ref="A8:R8"/>
    <mergeCell ref="E5:R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6" customWidth="1" min="4" max="4"/>
    <col width="6" customWidth="1" min="5" max="5"/>
    <col width="10" customWidth="1" min="6" max="6"/>
    <col width="7" customWidth="1" min="7" max="7"/>
    <col width="24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4" customWidth="1" min="18" max="18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21,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36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Korean Name</t>
        </is>
      </c>
      <c r="E7" s="5" t="inlineStr">
        <is>
          <t>Cat.</t>
        </is>
      </c>
      <c r="F7" s="5" t="inlineStr">
        <is>
          <t>Color</t>
        </is>
      </c>
      <c r="G7" s="5" t="inlineStr">
        <is>
          <t>Detail</t>
        </is>
      </c>
      <c r="H7" s="5" t="inlineStr">
        <is>
          <t>Description</t>
        </is>
      </c>
      <c r="I7" s="5" t="inlineStr">
        <is>
          <t>Wholesale
(USD)</t>
        </is>
      </c>
      <c r="J7" s="5" t="inlineStr">
        <is>
          <t>MSRP
(USD)</t>
        </is>
      </c>
      <c r="K7" s="5" t="inlineStr">
        <is>
          <t>Stock</t>
        </is>
      </c>
      <c r="L7" s="5" t="inlineStr">
        <is>
          <t>Qty
(80)</t>
        </is>
      </c>
      <c r="M7" s="5" t="inlineStr">
        <is>
          <t>Qty
(90)</t>
        </is>
      </c>
      <c r="N7" s="5" t="inlineStr">
        <is>
          <t>Qty
(100)</t>
        </is>
      </c>
      <c r="O7" s="5" t="inlineStr">
        <is>
          <t>Qty
(110)</t>
        </is>
      </c>
      <c r="P7" s="5" t="inlineStr">
        <is>
          <t>Qty
(120)</t>
        </is>
      </c>
      <c r="Q7" s="5" t="inlineStr">
        <is>
          <t>Total
Qty</t>
        </is>
      </c>
      <c r="R7" s="5" t="inlineStr">
        <is>
          <t>Total
Wholesale</t>
        </is>
      </c>
    </row>
    <row r="8" ht="20" customHeight="1">
      <c r="A8" s="29" t="inlineStr">
        <is>
          <t xml:space="preserve">  ▸  BOTTOMS</t>
        </is>
      </c>
    </row>
    <row r="9" ht="46" customHeight="1">
      <c r="A9" s="7" t="inlineStr">
        <is>
          <t>↑ photo</t>
        </is>
      </c>
      <c r="B9" s="8" t="inlineStr">
        <is>
          <t>NM-26S-BOT-SD01</t>
        </is>
      </c>
      <c r="C9" s="9" t="inlineStr">
        <is>
          <t>Rib Jogger Pants</t>
        </is>
      </c>
      <c r="D9" s="10" t="inlineStr">
        <is>
          <t>골지조거바지</t>
        </is>
      </c>
      <c r="E9" s="30" t="inlineStr">
        <is>
          <t>BOT</t>
        </is>
      </c>
      <c r="F9" s="4" t="inlineStr">
        <is>
          <t>2-Color</t>
        </is>
      </c>
      <c r="G9" s="12" t="inlineStr">
        <is>
          <t>—</t>
        </is>
      </c>
      <c r="H9" s="13" t="inlineStr">
        <is>
          <t>Ribbed jogger pants, comes in 2-color set.</t>
        </is>
      </c>
      <c r="I9" s="14" t="n">
        <v>19</v>
      </c>
      <c r="J9" s="15" t="n">
        <v>38</v>
      </c>
      <c r="K9" s="16" t="inlineStr">
        <is>
          <t>✓  72 pcs</t>
        </is>
      </c>
      <c r="L9" s="27" t="inlineStr">
        <is>
          <t>—</t>
        </is>
      </c>
      <c r="M9" s="18" t="n"/>
      <c r="N9" s="18" t="n"/>
      <c r="O9" s="27" t="inlineStr">
        <is>
          <t>—</t>
        </is>
      </c>
      <c r="P9" s="18" t="n"/>
      <c r="Q9" s="19">
        <f>SUMPRODUCT((L9:P9&gt;0)*(L9:P9))</f>
        <v/>
      </c>
      <c r="R9" s="14">
        <f>Q9*I9</f>
        <v/>
      </c>
    </row>
    <row r="10" ht="28" customHeight="1">
      <c r="A10" s="37" t="inlineStr">
        <is>
          <t>ORDER TOTAL</t>
        </is>
      </c>
      <c r="Q10" s="38">
        <f>SUM(Q8:Q9)</f>
        <v/>
      </c>
      <c r="R10" s="39">
        <f>SUM(R8:R9)</f>
        <v/>
      </c>
    </row>
    <row r="12" ht="16" customHeight="1">
      <c r="A12" s="40" t="inlineStr">
        <is>
          <t>GUIDE</t>
        </is>
      </c>
      <c r="B12" s="41" t="inlineStr">
        <is>
          <t>🟡 Yellow = Enter order qty</t>
        </is>
      </c>
      <c r="F12" s="42" t="inlineStr">
        <is>
          <t>✓ In Stock = Ready to ship</t>
        </is>
      </c>
      <c r="J12" s="43" t="inlineStr">
        <is>
          <t>Pre-Order = 8~10 weeks lead time</t>
        </is>
      </c>
      <c r="N12" s="44" t="inlineStr">
        <is>
          <t>— = Out of stock for this size</t>
        </is>
      </c>
    </row>
    <row r="13" ht="16" customHeight="1">
      <c r="A13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15">
    <mergeCell ref="A5:D5"/>
    <mergeCell ref="A10:P10"/>
    <mergeCell ref="A2:R2"/>
    <mergeCell ref="A4:D4"/>
    <mergeCell ref="K4:M4"/>
    <mergeCell ref="B12:E12"/>
    <mergeCell ref="N12:P12"/>
    <mergeCell ref="H4:J4"/>
    <mergeCell ref="F12:I12"/>
    <mergeCell ref="J12:M12"/>
    <mergeCell ref="A13:R13"/>
    <mergeCell ref="E4:G4"/>
    <mergeCell ref="A1:R1"/>
    <mergeCell ref="A8:R8"/>
    <mergeCell ref="E5:R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16" customWidth="1" min="4" max="4"/>
    <col width="6" customWidth="1" min="5" max="5"/>
    <col width="10" customWidth="1" min="6" max="6"/>
    <col width="7" customWidth="1" min="7" max="7"/>
    <col width="24" customWidth="1" min="8" max="8"/>
    <col width="11" customWidth="1" min="9" max="9"/>
    <col width="9" customWidth="1" min="10" max="10"/>
    <col width="10" customWidth="1" min="11" max="11"/>
    <col width="7" customWidth="1" min="12" max="12"/>
    <col width="8" customWidth="1" min="13" max="13"/>
    <col width="14" customWidth="1" min="14" max="14"/>
  </cols>
  <sheetData>
    <row r="1" ht="44" customHeight="1">
      <c r="A1" s="1" t="inlineStr">
        <is>
          <t>numo  ·  2026 S/S  ·  Wholesale Line Sheet &amp; Order Form</t>
        </is>
      </c>
    </row>
    <row r="2" ht="18" customHeight="1">
      <c r="A2" s="2" t="inlineStr">
        <is>
          <t>Brand: NUMO  ·  Season: 2026 S/S  ·  FOB Seoul  ·  USD  ·  April 21, 2026</t>
        </is>
      </c>
    </row>
    <row r="3" ht="6" customHeight="1"/>
    <row r="4" ht="22" customHeight="1">
      <c r="A4" s="3" t="inlineStr">
        <is>
          <t>Store / Buyer Name:</t>
        </is>
      </c>
      <c r="E4" s="3" t="inlineStr">
        <is>
          <t>Contact:</t>
        </is>
      </c>
      <c r="H4" s="3" t="inlineStr">
        <is>
          <t>Email:</t>
        </is>
      </c>
      <c r="K4" s="3" t="inlineStr">
        <is>
          <t>Order Date:</t>
        </is>
      </c>
    </row>
    <row r="5" ht="22" customHeight="1">
      <c r="A5" s="3" t="inlineStr">
        <is>
          <t>Ship To:</t>
        </is>
      </c>
      <c r="E5" s="4" t="inlineStr"/>
    </row>
    <row r="6" ht="6" customHeight="1"/>
    <row r="7" ht="36" customHeight="1">
      <c r="A7" s="5" t="inlineStr">
        <is>
          <t>Photo</t>
        </is>
      </c>
      <c r="B7" s="5" t="inlineStr">
        <is>
          <t>Item Code</t>
        </is>
      </c>
      <c r="C7" s="5" t="inlineStr">
        <is>
          <t>Product Name</t>
        </is>
      </c>
      <c r="D7" s="5" t="inlineStr">
        <is>
          <t>Korean Name</t>
        </is>
      </c>
      <c r="E7" s="5" t="inlineStr">
        <is>
          <t>Cat.</t>
        </is>
      </c>
      <c r="F7" s="5" t="inlineStr">
        <is>
          <t>Color</t>
        </is>
      </c>
      <c r="G7" s="5" t="inlineStr">
        <is>
          <t>Detail</t>
        </is>
      </c>
      <c r="H7" s="5" t="inlineStr">
        <is>
          <t>Description</t>
        </is>
      </c>
      <c r="I7" s="5" t="inlineStr">
        <is>
          <t>Wholesale
(USD)</t>
        </is>
      </c>
      <c r="J7" s="5" t="inlineStr">
        <is>
          <t>MSRP
(USD)</t>
        </is>
      </c>
      <c r="K7" s="5" t="inlineStr">
        <is>
          <t>Stock</t>
        </is>
      </c>
      <c r="L7" s="5" t="inlineStr">
        <is>
          <t>Qty
(One Size)</t>
        </is>
      </c>
      <c r="M7" s="5" t="inlineStr">
        <is>
          <t>Total
Qty</t>
        </is>
      </c>
      <c r="N7" s="5" t="inlineStr">
        <is>
          <t>Total
Wholesale</t>
        </is>
      </c>
    </row>
    <row r="8" ht="20" customHeight="1">
      <c r="A8" s="35" t="inlineStr">
        <is>
          <t xml:space="preserve">  ▸  ACCESSORIES</t>
        </is>
      </c>
    </row>
    <row r="9" ht="46" customHeight="1">
      <c r="A9" s="7" t="inlineStr">
        <is>
          <t>↑ photo</t>
        </is>
      </c>
      <c r="B9" s="8" t="inlineStr">
        <is>
          <t>NM-26S-ACC-SD01</t>
        </is>
      </c>
      <c r="C9" s="9" t="inlineStr">
        <is>
          <t>Ball Cap</t>
        </is>
      </c>
      <c r="D9" s="10" t="inlineStr">
        <is>
          <t>볼캡</t>
        </is>
      </c>
      <c r="E9" s="36" t="inlineStr">
        <is>
          <t>ACC</t>
        </is>
      </c>
      <c r="F9" s="4" t="inlineStr">
        <is>
          <t>Lavender</t>
        </is>
      </c>
      <c r="G9" s="12" t="inlineStr">
        <is>
          <t>—</t>
        </is>
      </c>
      <c r="H9" s="13" t="inlineStr">
        <is>
          <t>Relaxed fit ball cap with numo branding.</t>
        </is>
      </c>
      <c r="I9" s="14" t="n">
        <v>27</v>
      </c>
      <c r="J9" s="15" t="n">
        <v>44</v>
      </c>
      <c r="K9" s="16" t="inlineStr">
        <is>
          <t>✓  22 pcs</t>
        </is>
      </c>
      <c r="L9" s="18" t="n"/>
      <c r="M9" s="19">
        <f>SUMPRODUCT((L9:L9&gt;0)*(L9:L9))</f>
        <v/>
      </c>
      <c r="N9" s="14">
        <f>M9*I9</f>
        <v/>
      </c>
    </row>
    <row r="10" ht="46" customHeight="1">
      <c r="A10" s="7" t="inlineStr">
        <is>
          <t>↑ photo</t>
        </is>
      </c>
      <c r="B10" s="20" t="inlineStr">
        <is>
          <t>NM-26S-ACC-SD01</t>
        </is>
      </c>
      <c r="C10" s="21" t="inlineStr">
        <is>
          <t>Ball Cap</t>
        </is>
      </c>
      <c r="D10" s="22" t="inlineStr">
        <is>
          <t>볼캡</t>
        </is>
      </c>
      <c r="E10" s="36" t="inlineStr">
        <is>
          <t>ACC</t>
        </is>
      </c>
      <c r="F10" s="23" t="inlineStr">
        <is>
          <t>Lemon Cream</t>
        </is>
      </c>
      <c r="G10" s="24" t="inlineStr">
        <is>
          <t>—</t>
        </is>
      </c>
      <c r="H10" s="25" t="inlineStr">
        <is>
          <t>Relaxed fit ball cap with numo branding.</t>
        </is>
      </c>
      <c r="I10" s="14" t="n">
        <v>27</v>
      </c>
      <c r="J10" s="26" t="n">
        <v>44</v>
      </c>
      <c r="K10" s="16" t="inlineStr">
        <is>
          <t>✓  24 pcs</t>
        </is>
      </c>
      <c r="L10" s="18" t="n"/>
      <c r="M10" s="19">
        <f>SUMPRODUCT((L10:L10&gt;0)*(L10:L10))</f>
        <v/>
      </c>
      <c r="N10" s="14">
        <f>M10*I10</f>
        <v/>
      </c>
    </row>
    <row r="11" ht="46" customHeight="1">
      <c r="A11" s="7" t="inlineStr">
        <is>
          <t>↑ photo</t>
        </is>
      </c>
      <c r="B11" s="8" t="inlineStr">
        <is>
          <t>NM-26S-ACC-ST01</t>
        </is>
      </c>
      <c r="C11" s="9" t="inlineStr">
        <is>
          <t>Stripe Bonnet</t>
        </is>
      </c>
      <c r="D11" s="10" t="inlineStr">
        <is>
          <t>스트라이프 귀보넷</t>
        </is>
      </c>
      <c r="E11" s="36" t="inlineStr">
        <is>
          <t>ACC</t>
        </is>
      </c>
      <c r="F11" s="4" t="inlineStr">
        <is>
          <t>Baby Blue</t>
        </is>
      </c>
      <c r="G11" s="12" t="inlineStr">
        <is>
          <t>—</t>
        </is>
      </c>
      <c r="H11" s="13" t="inlineStr">
        <is>
          <t>Soft stripe bonnet with ear coverage.</t>
        </is>
      </c>
      <c r="I11" s="14" t="n">
        <v>11</v>
      </c>
      <c r="J11" s="15" t="n">
        <v>28</v>
      </c>
      <c r="K11" s="16" t="inlineStr">
        <is>
          <t>✓  38 pcs</t>
        </is>
      </c>
      <c r="L11" s="18" t="n"/>
      <c r="M11" s="19">
        <f>SUMPRODUCT((L11:L11&gt;0)*(L11:L11))</f>
        <v/>
      </c>
      <c r="N11" s="14">
        <f>M11*I11</f>
        <v/>
      </c>
    </row>
    <row r="12" ht="46" customHeight="1">
      <c r="A12" s="7" t="inlineStr">
        <is>
          <t>↑ photo</t>
        </is>
      </c>
      <c r="B12" s="20" t="inlineStr">
        <is>
          <t>NM-26S-ACC-ST01</t>
        </is>
      </c>
      <c r="C12" s="21" t="inlineStr">
        <is>
          <t>Stripe Bonnet</t>
        </is>
      </c>
      <c r="D12" s="22" t="inlineStr">
        <is>
          <t>스트라이프 귀보넷</t>
        </is>
      </c>
      <c r="E12" s="36" t="inlineStr">
        <is>
          <t>ACC</t>
        </is>
      </c>
      <c r="F12" s="23" t="inlineStr">
        <is>
          <t>Baby Pink</t>
        </is>
      </c>
      <c r="G12" s="24" t="inlineStr">
        <is>
          <t>—</t>
        </is>
      </c>
      <c r="H12" s="25" t="inlineStr">
        <is>
          <t>Soft stripe bonnet with ear coverage.</t>
        </is>
      </c>
      <c r="I12" s="14" t="n">
        <v>11</v>
      </c>
      <c r="J12" s="26" t="n">
        <v>28</v>
      </c>
      <c r="K12" s="16" t="inlineStr">
        <is>
          <t>✓  34 pcs</t>
        </is>
      </c>
      <c r="L12" s="18" t="n"/>
      <c r="M12" s="19">
        <f>SUMPRODUCT((L12:L12&gt;0)*(L12:L12))</f>
        <v/>
      </c>
      <c r="N12" s="14">
        <f>M12*I12</f>
        <v/>
      </c>
    </row>
    <row r="13" ht="28" customHeight="1">
      <c r="A13" s="37" t="inlineStr">
        <is>
          <t>ORDER TOTAL</t>
        </is>
      </c>
      <c r="M13" s="38">
        <f>SUM(M8:M12)</f>
        <v/>
      </c>
      <c r="N13" s="39">
        <f>SUM(N8:N12)</f>
        <v/>
      </c>
    </row>
    <row r="15" ht="16" customHeight="1">
      <c r="A15" s="40" t="inlineStr">
        <is>
          <t>GUIDE</t>
        </is>
      </c>
      <c r="B15" s="41" t="inlineStr">
        <is>
          <t>🟡 Yellow = Enter order qty</t>
        </is>
      </c>
      <c r="F15" s="42" t="inlineStr">
        <is>
          <t>✓ In Stock = Ready to ship</t>
        </is>
      </c>
      <c r="J15" s="43" t="inlineStr">
        <is>
          <t>Pre-Order = 8~10 weeks lead time</t>
        </is>
      </c>
      <c r="N15" s="44" t="inlineStr">
        <is>
          <t>— = Out of stock for this size</t>
        </is>
      </c>
    </row>
    <row r="16" ht="16" customHeight="1">
      <c r="A16" s="45" t="inlineStr">
        <is>
          <t>★  Min. Opening Order: $1,200 wholesale   |   Re-order Min.: $800   |   MOQ: 10 pcs per style (sized) / 6 pcs per style (one size)   |   Size mix available   |   Payment: 50% deposit / 50% before shipment   |   Shipping: FOB Seoul</t>
        </is>
      </c>
    </row>
  </sheetData>
  <mergeCells count="15">
    <mergeCell ref="A5:D5"/>
    <mergeCell ref="N15:P15"/>
    <mergeCell ref="A8:N8"/>
    <mergeCell ref="E5:N5"/>
    <mergeCell ref="K4:M4"/>
    <mergeCell ref="A4:D4"/>
    <mergeCell ref="A2:N2"/>
    <mergeCell ref="A16:N16"/>
    <mergeCell ref="H4:J4"/>
    <mergeCell ref="A13:L13"/>
    <mergeCell ref="B15:E15"/>
    <mergeCell ref="F15:I15"/>
    <mergeCell ref="E4:G4"/>
    <mergeCell ref="J15:M1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2026-04-21T14:40:49Z</dcterms:created>
  <dcterms:modified xmlns:dcterms="http://purl.org/dc/terms/" xmlns:xsi="http://www.w3.org/2001/XMLSchema-instance" xsi:type="dcterms:W3CDTF">2026-04-21T14:40:49Z</dcterms:modified>
</cp:coreProperties>
</file>