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Line Sheet" sheetId="1" state="visible" r:id="rId1"/>
    <sheet xmlns:r="http://schemas.openxmlformats.org/officeDocument/2006/relationships" name="SETS" sheetId="2" state="visible" r:id="rId2"/>
    <sheet xmlns:r="http://schemas.openxmlformats.org/officeDocument/2006/relationships" name="OUTERWEAR" sheetId="3" state="visible" r:id="rId3"/>
    <sheet xmlns:r="http://schemas.openxmlformats.org/officeDocument/2006/relationships" name="BOTTOMS" sheetId="4" state="visible" r:id="rId4"/>
    <sheet xmlns:r="http://schemas.openxmlformats.org/officeDocument/2006/relationships" name="ACCESSO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31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6B6860"/>
      <sz val="9"/>
    </font>
    <font>
      <name val="Arial"/>
      <b val="1"/>
      <color rgb="002D5F4F"/>
      <sz val="9"/>
    </font>
    <font>
      <name val="Arial"/>
      <color rgb="001A1916"/>
      <sz val="10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3C3489"/>
      <sz val="10"/>
    </font>
    <font>
      <name val="Arial"/>
      <i val="1"/>
      <color rgb="00CCCCCC"/>
      <sz val="8"/>
    </font>
    <font>
      <name val="Arial"/>
      <b val="1"/>
      <color rgb="002D5F4F"/>
      <sz val="8"/>
    </font>
    <font>
      <name val="Arial"/>
      <b val="1"/>
      <color rgb="001A1916"/>
      <sz val="10"/>
    </font>
    <font>
      <name val="Arial"/>
      <b val="1"/>
      <color rgb="003C3489"/>
      <sz val="9"/>
    </font>
    <font>
      <name val="Arial"/>
      <color rgb="001A1916"/>
      <sz val="9"/>
    </font>
    <font>
      <name val="Arial"/>
      <color rgb="00888780"/>
      <sz val="9"/>
    </font>
    <font>
      <name val="Arial"/>
      <b val="1"/>
      <color rgb="002D5F4F"/>
      <sz val="11"/>
    </font>
    <font>
      <name val="Arial"/>
      <b val="1"/>
      <color rgb="002D5F4F"/>
      <sz val="10"/>
    </font>
    <font>
      <name val="Arial"/>
      <color rgb="00DDDDDD"/>
      <sz val="8"/>
    </font>
    <font>
      <name val="Arial"/>
      <b val="1"/>
      <color rgb="001A5C40"/>
      <sz val="10"/>
    </font>
    <font>
      <name val="Arial"/>
      <b val="1"/>
      <color rgb="000000CC"/>
      <sz val="11"/>
    </font>
    <font>
      <name val="Arial"/>
      <b val="1"/>
      <color rgb="001A1916"/>
      <sz val="11"/>
    </font>
    <font>
      <name val="Arial"/>
      <color rgb="00AAAAAA"/>
      <sz val="9"/>
    </font>
    <font>
      <name val="Arial"/>
      <b val="1"/>
      <color rgb="000F6E56"/>
      <sz val="10"/>
    </font>
    <font>
      <name val="Arial"/>
      <b val="1"/>
      <color rgb="000F6E56"/>
      <sz val="9"/>
    </font>
    <font>
      <name val="Arial"/>
      <b val="1"/>
      <color rgb="00633806"/>
      <sz val="10"/>
    </font>
    <font>
      <name val="Arial"/>
      <b val="1"/>
      <color rgb="00633806"/>
      <sz val="9"/>
    </font>
    <font>
      <name val="Arial"/>
      <b val="1"/>
      <color rgb="00185FA5"/>
      <sz val="10"/>
    </font>
    <font>
      <name val="Arial"/>
      <b val="1"/>
      <color rgb="00185FA5"/>
      <sz val="9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color rgb="001A5C40"/>
      <sz val="9"/>
    </font>
    <font>
      <name val="Arial"/>
      <color rgb="00C4622A"/>
      <sz val="9"/>
    </font>
  </fonts>
  <fills count="14">
    <fill>
      <patternFill/>
    </fill>
    <fill>
      <patternFill patternType="gray125"/>
    </fill>
    <fill>
      <patternFill patternType="solid">
        <fgColor rgb="002D5F4F"/>
      </patternFill>
    </fill>
    <fill>
      <patternFill patternType="solid">
        <fgColor rgb="00F0EDE6"/>
      </patternFill>
    </fill>
    <fill>
      <patternFill patternType="solid">
        <fgColor rgb="00E8F2EE"/>
      </patternFill>
    </fill>
    <fill>
      <patternFill patternType="solid">
        <fgColor rgb="00FFFFFF"/>
      </patternFill>
    </fill>
    <fill>
      <patternFill patternType="solid">
        <fgColor rgb="003B6E5F"/>
      </patternFill>
    </fill>
    <fill>
      <patternFill patternType="solid">
        <fgColor rgb="00C4622A"/>
      </patternFill>
    </fill>
    <fill>
      <patternFill patternType="solid">
        <fgColor rgb="00EEEDFE"/>
      </patternFill>
    </fill>
    <fill>
      <patternFill patternType="solid">
        <fgColor rgb="00F5F3EE"/>
      </patternFill>
    </fill>
    <fill>
      <patternFill patternType="solid">
        <fgColor rgb="00FFFDE7"/>
      </patternFill>
    </fill>
    <fill>
      <patternFill patternType="solid">
        <fgColor rgb="00FAF0E8"/>
      </patternFill>
    </fill>
    <fill>
      <patternFill patternType="solid">
        <fgColor rgb="00EEF0FB"/>
      </patternFill>
    </fill>
    <fill>
      <patternFill patternType="solid">
        <fgColor rgb="00FDF0E8"/>
      </patternFill>
    </fill>
  </fills>
  <borders count="3">
    <border>
      <left/>
      <right/>
      <top/>
      <bottom/>
      <diagonal/>
    </border>
    <border>
      <left style="thin">
        <color rgb="00E0DDD6"/>
      </left>
      <right style="thin">
        <color rgb="00E0DDD6"/>
      </right>
      <top style="thin">
        <color rgb="00E0DDD6"/>
      </top>
      <bottom style="thin">
        <color rgb="00E0DDD6"/>
      </bottom>
    </border>
    <border>
      <left style="medium">
        <color rgb="00EF9F27"/>
      </left>
      <right style="medium">
        <color rgb="00EF9F27"/>
      </right>
      <top style="medium">
        <color rgb="00EF9F27"/>
      </top>
      <bottom style="medium">
        <color rgb="00EF9F27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 wrapText="1"/>
    </xf>
    <xf numFmtId="164" fontId="14" fillId="4" borderId="1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8" fillId="10" borderId="2" applyAlignment="1" pivotButton="0" quotePrefix="0" xfId="0">
      <alignment horizontal="center" vertical="center"/>
    </xf>
    <xf numFmtId="0" fontId="19" fillId="3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center" vertical="center"/>
    </xf>
    <xf numFmtId="0" fontId="20" fillId="3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left" vertical="center"/>
    </xf>
    <xf numFmtId="0" fontId="22" fillId="4" borderId="1" applyAlignment="1" pivotButton="0" quotePrefix="0" xfId="0">
      <alignment horizontal="center" vertical="center"/>
    </xf>
    <xf numFmtId="0" fontId="23" fillId="11" borderId="1" applyAlignment="1" pivotButton="0" quotePrefix="0" xfId="0">
      <alignment horizontal="left" vertical="center"/>
    </xf>
    <xf numFmtId="0" fontId="24" fillId="11" borderId="1" applyAlignment="1" pivotButton="0" quotePrefix="0" xfId="0">
      <alignment horizontal="center" vertical="center"/>
    </xf>
    <xf numFmtId="0" fontId="25" fillId="12" borderId="1" applyAlignment="1" pivotButton="0" quotePrefix="0" xfId="0">
      <alignment horizontal="left" vertical="center"/>
    </xf>
    <xf numFmtId="0" fontId="26" fillId="12" borderId="1" applyAlignment="1" pivotButton="0" quotePrefix="0" xfId="0">
      <alignment horizontal="center" vertical="center"/>
    </xf>
    <xf numFmtId="0" fontId="27" fillId="2" borderId="1" applyAlignment="1" pivotButton="0" quotePrefix="0" xfId="0">
      <alignment horizontal="right" vertical="center"/>
    </xf>
    <xf numFmtId="0" fontId="28" fillId="2" borderId="1" applyAlignment="1" pivotButton="0" quotePrefix="0" xfId="0">
      <alignment horizontal="center" vertical="center"/>
    </xf>
    <xf numFmtId="164" fontId="28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29" fillId="4" borderId="1" applyAlignment="1" pivotButton="0" quotePrefix="0" xfId="0">
      <alignment horizontal="left" vertical="center"/>
    </xf>
    <xf numFmtId="0" fontId="30" fillId="10" borderId="1" applyAlignment="1" pivotButton="0" quotePrefix="0" xfId="0">
      <alignment horizontal="left" vertical="center"/>
    </xf>
    <xf numFmtId="0" fontId="30" fillId="1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6" customWidth="1" min="4" max="4"/>
    <col width="10" customWidth="1" min="5" max="5"/>
    <col width="7" customWidth="1" min="6" max="6"/>
    <col width="24" customWidth="1" min="7" max="7"/>
    <col width="10" customWidth="1" min="8" max="8"/>
    <col width="9" customWidth="1" min="9" max="9"/>
    <col width="8" customWidth="1" min="10" max="10"/>
    <col width="9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8" customWidth="1" min="28" max="28"/>
    <col width="14" customWidth="1" min="29" max="29"/>
  </cols>
  <sheetData>
    <row r="1" ht="44" customHeight="1">
      <c r="A1" s="1" t="inlineStr">
        <is>
          <t>numo  ·  2026 S/S  ·  Wholesale Line Sheet &amp; Order Form</t>
        </is>
      </c>
    </row>
    <row r="2" ht="18" customHeight="1">
      <c r="A2" s="2" t="inlineStr">
        <is>
          <t>Brand: NUMO  ·  Season: 2026 S/S  ·  FOB Seoul  ·  USD  ·  April 22, 2026</t>
        </is>
      </c>
    </row>
    <row r="3" ht="6" customHeight="1"/>
    <row r="4" ht="22" customHeight="1">
      <c r="A4" s="3" t="inlineStr">
        <is>
          <t>Store / Buyer Name:</t>
        </is>
      </c>
      <c r="E4" s="3" t="inlineStr">
        <is>
          <t>Contact:</t>
        </is>
      </c>
      <c r="H4" s="3" t="inlineStr">
        <is>
          <t>Email:</t>
        </is>
      </c>
      <c r="K4" s="3" t="inlineStr">
        <is>
          <t>Order Date:</t>
        </is>
      </c>
    </row>
    <row r="5" ht="22" customHeight="1">
      <c r="A5" s="3" t="inlineStr">
        <is>
          <t>Ship To:</t>
        </is>
      </c>
      <c r="E5" s="4" t="inlineStr"/>
    </row>
    <row r="6" ht="6" customHeight="1"/>
    <row r="7" ht="20" customHeight="1">
      <c r="A7" s="5" t="inlineStr">
        <is>
          <t>Photo</t>
        </is>
      </c>
      <c r="B7" s="5" t="inlineStr">
        <is>
          <t>Item Code</t>
        </is>
      </c>
      <c r="C7" s="5" t="inlineStr">
        <is>
          <t>Product Name</t>
        </is>
      </c>
      <c r="D7" s="5" t="inlineStr">
        <is>
          <t>Cat.</t>
        </is>
      </c>
      <c r="E7" s="5" t="inlineStr">
        <is>
          <t>Color</t>
        </is>
      </c>
      <c r="F7" s="5" t="inlineStr">
        <is>
          <t>Detail</t>
        </is>
      </c>
      <c r="G7" s="5" t="inlineStr">
        <is>
          <t>Description</t>
        </is>
      </c>
      <c r="H7" s="5" t="inlineStr">
        <is>
          <t>Wholesale
(USD)</t>
        </is>
      </c>
      <c r="I7" s="5" t="inlineStr">
        <is>
          <t>MSRP
(USD)</t>
        </is>
      </c>
      <c r="J7" s="5" t="inlineStr">
        <is>
          <t>Total
Stock</t>
        </is>
      </c>
      <c r="K7" s="5" t="inlineStr">
        <is>
          <t>Stock
Status</t>
        </is>
      </c>
      <c r="L7" s="6" t="inlineStr">
        <is>
          <t>One Size</t>
        </is>
      </c>
      <c r="N7" s="6" t="inlineStr">
        <is>
          <t>0-12m</t>
        </is>
      </c>
      <c r="P7" s="6" t="inlineStr">
        <is>
          <t>12-24m</t>
        </is>
      </c>
      <c r="R7" s="6" t="inlineStr">
        <is>
          <t>80</t>
        </is>
      </c>
      <c r="T7" s="6" t="inlineStr">
        <is>
          <t>90</t>
        </is>
      </c>
      <c r="V7" s="6" t="inlineStr">
        <is>
          <t>100</t>
        </is>
      </c>
      <c r="X7" s="6" t="inlineStr">
        <is>
          <t>110</t>
        </is>
      </c>
      <c r="Z7" s="6" t="inlineStr">
        <is>
          <t>120</t>
        </is>
      </c>
      <c r="AB7" s="5" t="inlineStr">
        <is>
          <t>Total
Qty</t>
        </is>
      </c>
      <c r="AC7" s="5" t="inlineStr">
        <is>
          <t>Total
Wholesale</t>
        </is>
      </c>
    </row>
    <row r="8" ht="16" customHeight="1">
      <c r="L8" s="7" t="inlineStr">
        <is>
          <t>Stock</t>
        </is>
      </c>
      <c r="M8" s="8" t="inlineStr">
        <is>
          <t>Order</t>
        </is>
      </c>
      <c r="N8" s="7" t="inlineStr">
        <is>
          <t>Stock</t>
        </is>
      </c>
      <c r="O8" s="8" t="inlineStr">
        <is>
          <t>Order</t>
        </is>
      </c>
      <c r="P8" s="7" t="inlineStr">
        <is>
          <t>Stock</t>
        </is>
      </c>
      <c r="Q8" s="8" t="inlineStr">
        <is>
          <t>Order</t>
        </is>
      </c>
      <c r="R8" s="7" t="inlineStr">
        <is>
          <t>Stock</t>
        </is>
      </c>
      <c r="S8" s="8" t="inlineStr">
        <is>
          <t>Order</t>
        </is>
      </c>
      <c r="T8" s="7" t="inlineStr">
        <is>
          <t>Stock</t>
        </is>
      </c>
      <c r="U8" s="8" t="inlineStr">
        <is>
          <t>Order</t>
        </is>
      </c>
      <c r="V8" s="7" t="inlineStr">
        <is>
          <t>Stock</t>
        </is>
      </c>
      <c r="W8" s="8" t="inlineStr">
        <is>
          <t>Order</t>
        </is>
      </c>
      <c r="X8" s="7" t="inlineStr">
        <is>
          <t>Stock</t>
        </is>
      </c>
      <c r="Y8" s="8" t="inlineStr">
        <is>
          <t>Order</t>
        </is>
      </c>
      <c r="Z8" s="7" t="inlineStr">
        <is>
          <t>Stock</t>
        </is>
      </c>
      <c r="AA8" s="8" t="inlineStr">
        <is>
          <t>Order</t>
        </is>
      </c>
    </row>
    <row r="9" ht="18" customHeight="1">
      <c r="A9" s="9" t="inlineStr">
        <is>
          <t xml:space="preserve">  ▸  SETS</t>
        </is>
      </c>
    </row>
    <row r="10" ht="46" customHeight="1">
      <c r="A10" s="10" t="inlineStr">
        <is>
          <t>↑ photo</t>
        </is>
      </c>
      <c r="B10" s="11" t="inlineStr">
        <is>
          <t>NM-26S-SET-BACA</t>
        </is>
      </c>
      <c r="C10" s="12" t="inlineStr">
        <is>
          <t>Cardigan &amp; Soft Jogger Set</t>
        </is>
      </c>
      <c r="D10" s="13" t="inlineStr">
        <is>
          <t>SET</t>
        </is>
      </c>
      <c r="E10" s="14" t="inlineStr">
        <is>
          <t>Baby Blue</t>
        </is>
      </c>
      <c r="F10" s="15" t="inlineStr">
        <is>
          <t>—</t>
        </is>
      </c>
      <c r="G10" s="16" t="inlineStr">
        <is>
          <t>Stripe cardigan and soft jogger pants set.</t>
        </is>
      </c>
      <c r="H10" s="17" t="n">
        <v>32</v>
      </c>
      <c r="I10" s="18" t="n">
        <v>64</v>
      </c>
      <c r="J10" s="19" t="n">
        <v>85</v>
      </c>
      <c r="K10" s="20" t="inlineStr">
        <is>
          <t>✓ In Stock</t>
        </is>
      </c>
      <c r="L10" s="21" t="inlineStr">
        <is>
          <t>✕</t>
        </is>
      </c>
      <c r="M10" s="21" t="inlineStr">
        <is>
          <t>✕</t>
        </is>
      </c>
      <c r="N10" s="21" t="inlineStr">
        <is>
          <t>✕</t>
        </is>
      </c>
      <c r="O10" s="21" t="inlineStr">
        <is>
          <t>✕</t>
        </is>
      </c>
      <c r="P10" s="21" t="inlineStr">
        <is>
          <t>✕</t>
        </is>
      </c>
      <c r="Q10" s="21" t="inlineStr">
        <is>
          <t>✕</t>
        </is>
      </c>
      <c r="R10" s="22" t="n">
        <v>13</v>
      </c>
      <c r="S10" s="23" t="n"/>
      <c r="T10" s="22" t="n">
        <v>22</v>
      </c>
      <c r="U10" s="23" t="n"/>
      <c r="V10" s="22" t="n">
        <v>50</v>
      </c>
      <c r="W10" s="23" t="n"/>
      <c r="X10" s="21" t="inlineStr">
        <is>
          <t>✕</t>
        </is>
      </c>
      <c r="Y10" s="21" t="inlineStr">
        <is>
          <t>✕</t>
        </is>
      </c>
      <c r="Z10" s="21" t="inlineStr">
        <is>
          <t>✕</t>
        </is>
      </c>
      <c r="AA10" s="21" t="inlineStr">
        <is>
          <t>✕</t>
        </is>
      </c>
      <c r="AB10" s="24">
        <f>IFERROR(S10,0)+IFERROR(U10,0)+IFERROR(W10,0)</f>
        <v/>
      </c>
      <c r="AC10" s="17">
        <f>AB10*H10</f>
        <v/>
      </c>
    </row>
    <row r="11" ht="46" customHeight="1">
      <c r="A11" s="10" t="inlineStr">
        <is>
          <t>↑ photo</t>
        </is>
      </c>
      <c r="B11" s="25" t="inlineStr">
        <is>
          <t>NM-26S-SET-BACA</t>
        </is>
      </c>
      <c r="C11" s="26" t="inlineStr">
        <is>
          <t>Cardigan &amp; Soft Jogger Set</t>
        </is>
      </c>
      <c r="D11" s="13" t="inlineStr">
        <is>
          <t>SET</t>
        </is>
      </c>
      <c r="E11" s="27" t="inlineStr">
        <is>
          <t>Baby Pink</t>
        </is>
      </c>
      <c r="F11" s="28" t="inlineStr">
        <is>
          <t>—</t>
        </is>
      </c>
      <c r="G11" s="29" t="inlineStr">
        <is>
          <t>Stripe cardigan and soft jogger pants set.</t>
        </is>
      </c>
      <c r="H11" s="17" t="n">
        <v>32</v>
      </c>
      <c r="I11" s="30" t="n">
        <v>64</v>
      </c>
      <c r="J11" s="19" t="n">
        <v>65</v>
      </c>
      <c r="K11" s="20" t="inlineStr">
        <is>
          <t>✓ In Stock</t>
        </is>
      </c>
      <c r="L11" s="21" t="inlineStr">
        <is>
          <t>✕</t>
        </is>
      </c>
      <c r="M11" s="21" t="inlineStr">
        <is>
          <t>✕</t>
        </is>
      </c>
      <c r="N11" s="21" t="inlineStr">
        <is>
          <t>✕</t>
        </is>
      </c>
      <c r="O11" s="21" t="inlineStr">
        <is>
          <t>✕</t>
        </is>
      </c>
      <c r="P11" s="21" t="inlineStr">
        <is>
          <t>✕</t>
        </is>
      </c>
      <c r="Q11" s="21" t="inlineStr">
        <is>
          <t>✕</t>
        </is>
      </c>
      <c r="R11" s="22" t="n">
        <v>12</v>
      </c>
      <c r="S11" s="23" t="n"/>
      <c r="T11" s="22" t="n">
        <v>21</v>
      </c>
      <c r="U11" s="23" t="n"/>
      <c r="V11" s="22" t="n">
        <v>32</v>
      </c>
      <c r="W11" s="23" t="n"/>
      <c r="X11" s="21" t="inlineStr">
        <is>
          <t>✕</t>
        </is>
      </c>
      <c r="Y11" s="21" t="inlineStr">
        <is>
          <t>✕</t>
        </is>
      </c>
      <c r="Z11" s="21" t="inlineStr">
        <is>
          <t>✕</t>
        </is>
      </c>
      <c r="AA11" s="21" t="inlineStr">
        <is>
          <t>✕</t>
        </is>
      </c>
      <c r="AB11" s="24">
        <f>IFERROR(S11,0)+IFERROR(U11,0)+IFERROR(W11,0)</f>
        <v/>
      </c>
      <c r="AC11" s="17">
        <f>AB11*H11</f>
        <v/>
      </c>
    </row>
    <row r="12" ht="46" customHeight="1">
      <c r="A12" s="10" t="inlineStr">
        <is>
          <t>↑ photo</t>
        </is>
      </c>
      <c r="B12" s="11" t="inlineStr">
        <is>
          <t>NM-26S-SET-LICH</t>
        </is>
      </c>
      <c r="C12" s="12" t="inlineStr">
        <is>
          <t>Cherie Flower Set</t>
        </is>
      </c>
      <c r="D12" s="13" t="inlineStr">
        <is>
          <t>SET</t>
        </is>
      </c>
      <c r="E12" s="14" t="inlineStr">
        <is>
          <t>Light Grey</t>
        </is>
      </c>
      <c r="F12" s="15" t="inlineStr">
        <is>
          <t>—</t>
        </is>
      </c>
      <c r="G12" s="16" t="inlineStr">
        <is>
          <t>Floral print matching set with delicate details.</t>
        </is>
      </c>
      <c r="H12" s="17" t="n">
        <v>29</v>
      </c>
      <c r="I12" s="18" t="n">
        <v>64</v>
      </c>
      <c r="J12" s="19" t="n">
        <v>36</v>
      </c>
      <c r="K12" s="20" t="inlineStr">
        <is>
          <t>✓ In Stock</t>
        </is>
      </c>
      <c r="L12" s="21" t="inlineStr">
        <is>
          <t>✕</t>
        </is>
      </c>
      <c r="M12" s="21" t="inlineStr">
        <is>
          <t>✕</t>
        </is>
      </c>
      <c r="N12" s="21" t="inlineStr">
        <is>
          <t>✕</t>
        </is>
      </c>
      <c r="O12" s="21" t="inlineStr">
        <is>
          <t>✕</t>
        </is>
      </c>
      <c r="P12" s="21" t="inlineStr">
        <is>
          <t>✕</t>
        </is>
      </c>
      <c r="Q12" s="21" t="inlineStr">
        <is>
          <t>✕</t>
        </is>
      </c>
      <c r="R12" s="22" t="n">
        <v>7</v>
      </c>
      <c r="S12" s="23" t="n"/>
      <c r="T12" s="22" t="n">
        <v>3</v>
      </c>
      <c r="U12" s="23" t="n"/>
      <c r="V12" s="22" t="n">
        <v>11</v>
      </c>
      <c r="W12" s="23" t="n"/>
      <c r="X12" s="22" t="n">
        <v>5</v>
      </c>
      <c r="Y12" s="23" t="n"/>
      <c r="Z12" s="22" t="n">
        <v>10</v>
      </c>
      <c r="AA12" s="23" t="n"/>
      <c r="AB12" s="24">
        <f>IFERROR(S12,0)+IFERROR(U12,0)+IFERROR(W12,0)+IFERROR(Y12,0)+IFERROR(AA12,0)</f>
        <v/>
      </c>
      <c r="AC12" s="17">
        <f>AB12*H12</f>
        <v/>
      </c>
    </row>
    <row r="13" ht="46" customHeight="1">
      <c r="A13" s="10" t="inlineStr">
        <is>
          <t>↑ photo</t>
        </is>
      </c>
      <c r="B13" s="25" t="inlineStr">
        <is>
          <t>NM-26S-SET-BLDA</t>
        </is>
      </c>
      <c r="C13" s="26" t="inlineStr">
        <is>
          <t>Daily Modal Set</t>
        </is>
      </c>
      <c r="D13" s="13" t="inlineStr">
        <is>
          <t>SET</t>
        </is>
      </c>
      <c r="E13" s="27" t="inlineStr">
        <is>
          <t>Black</t>
        </is>
      </c>
      <c r="F13" s="28" t="inlineStr">
        <is>
          <t>—</t>
        </is>
      </c>
      <c r="G13" s="29" t="inlineStr">
        <is>
          <t>Soft modal matching set with 3/4 sleeve and shoulder slit detail.</t>
        </is>
      </c>
      <c r="H13" s="17" t="n">
        <v>27</v>
      </c>
      <c r="I13" s="30" t="n">
        <v>60</v>
      </c>
      <c r="J13" s="19" t="n">
        <v>6</v>
      </c>
      <c r="K13" s="20" t="inlineStr">
        <is>
          <t>✓ In Stock</t>
        </is>
      </c>
      <c r="L13" s="21" t="inlineStr">
        <is>
          <t>✕</t>
        </is>
      </c>
      <c r="M13" s="21" t="inlineStr">
        <is>
          <t>✕</t>
        </is>
      </c>
      <c r="N13" s="21" t="inlineStr">
        <is>
          <t>✕</t>
        </is>
      </c>
      <c r="O13" s="21" t="inlineStr">
        <is>
          <t>✕</t>
        </is>
      </c>
      <c r="P13" s="21" t="inlineStr">
        <is>
          <t>✕</t>
        </is>
      </c>
      <c r="Q13" s="21" t="inlineStr">
        <is>
          <t>✕</t>
        </is>
      </c>
      <c r="R13" s="22" t="n">
        <v>4</v>
      </c>
      <c r="S13" s="23" t="n"/>
      <c r="T13" s="22" t="n">
        <v>2</v>
      </c>
      <c r="U13" s="23" t="n"/>
      <c r="V13" s="31" t="inlineStr">
        <is>
          <t>0</t>
        </is>
      </c>
      <c r="W13" s="31" t="n"/>
      <c r="X13" s="21" t="inlineStr">
        <is>
          <t>✕</t>
        </is>
      </c>
      <c r="Y13" s="21" t="inlineStr">
        <is>
          <t>✕</t>
        </is>
      </c>
      <c r="Z13" s="21" t="inlineStr">
        <is>
          <t>✕</t>
        </is>
      </c>
      <c r="AA13" s="21" t="inlineStr">
        <is>
          <t>✕</t>
        </is>
      </c>
      <c r="AB13" s="24">
        <f>IFERROR(S13,0)+IFERROR(U13,0)</f>
        <v/>
      </c>
      <c r="AC13" s="17">
        <f>AB13*H13</f>
        <v/>
      </c>
    </row>
    <row r="14" ht="46" customHeight="1">
      <c r="A14" s="10" t="inlineStr">
        <is>
          <t>↑ photo</t>
        </is>
      </c>
      <c r="B14" s="11" t="inlineStr">
        <is>
          <t>NM-26S-SET-LEDA</t>
        </is>
      </c>
      <c r="C14" s="12" t="inlineStr">
        <is>
          <t>Daily Modal Set</t>
        </is>
      </c>
      <c r="D14" s="13" t="inlineStr">
        <is>
          <t>SET</t>
        </is>
      </c>
      <c r="E14" s="14" t="inlineStr">
        <is>
          <t>Lemon</t>
        </is>
      </c>
      <c r="F14" s="15" t="inlineStr">
        <is>
          <t>—</t>
        </is>
      </c>
      <c r="G14" s="16" t="inlineStr">
        <is>
          <t>Soft modal matching set with 3/4 sleeve and shoulder slit detail.</t>
        </is>
      </c>
      <c r="H14" s="17" t="n">
        <v>27</v>
      </c>
      <c r="I14" s="18" t="n">
        <v>60</v>
      </c>
      <c r="J14" s="19" t="n">
        <v>7</v>
      </c>
      <c r="K14" s="20" t="inlineStr">
        <is>
          <t>✓ In Stock</t>
        </is>
      </c>
      <c r="L14" s="21" t="inlineStr">
        <is>
          <t>✕</t>
        </is>
      </c>
      <c r="M14" s="21" t="inlineStr">
        <is>
          <t>✕</t>
        </is>
      </c>
      <c r="N14" s="21" t="inlineStr">
        <is>
          <t>✕</t>
        </is>
      </c>
      <c r="O14" s="21" t="inlineStr">
        <is>
          <t>✕</t>
        </is>
      </c>
      <c r="P14" s="21" t="inlineStr">
        <is>
          <t>✕</t>
        </is>
      </c>
      <c r="Q14" s="21" t="inlineStr">
        <is>
          <t>✕</t>
        </is>
      </c>
      <c r="R14" s="31" t="inlineStr">
        <is>
          <t>0</t>
        </is>
      </c>
      <c r="S14" s="31" t="n"/>
      <c r="T14" s="22" t="n">
        <v>7</v>
      </c>
      <c r="U14" s="23" t="n"/>
      <c r="V14" s="31" t="inlineStr">
        <is>
          <t>0</t>
        </is>
      </c>
      <c r="W14" s="31" t="n"/>
      <c r="X14" s="21" t="inlineStr">
        <is>
          <t>✕</t>
        </is>
      </c>
      <c r="Y14" s="21" t="inlineStr">
        <is>
          <t>✕</t>
        </is>
      </c>
      <c r="Z14" s="21" t="inlineStr">
        <is>
          <t>✕</t>
        </is>
      </c>
      <c r="AA14" s="21" t="inlineStr">
        <is>
          <t>✕</t>
        </is>
      </c>
      <c r="AB14" s="24">
        <f>IFERROR(U14,0)</f>
        <v/>
      </c>
      <c r="AC14" s="17">
        <f>AB14*H14</f>
        <v/>
      </c>
    </row>
    <row r="15" ht="46" customHeight="1">
      <c r="A15" s="10" t="inlineStr">
        <is>
          <t>↑ photo</t>
        </is>
      </c>
      <c r="B15" s="25" t="inlineStr">
        <is>
          <t>NM-26S-SET-PUDA</t>
        </is>
      </c>
      <c r="C15" s="26" t="inlineStr">
        <is>
          <t>Daily Modal Set</t>
        </is>
      </c>
      <c r="D15" s="13" t="inlineStr">
        <is>
          <t>SET</t>
        </is>
      </c>
      <c r="E15" s="27" t="inlineStr">
        <is>
          <t>Purple</t>
        </is>
      </c>
      <c r="F15" s="28" t="inlineStr">
        <is>
          <t>—</t>
        </is>
      </c>
      <c r="G15" s="29" t="inlineStr">
        <is>
          <t>Soft modal matching set with 3/4 sleeve and shoulder slit detail.</t>
        </is>
      </c>
      <c r="H15" s="17" t="n">
        <v>27</v>
      </c>
      <c r="I15" s="30" t="n">
        <v>60</v>
      </c>
      <c r="J15" s="19" t="n">
        <v>22</v>
      </c>
      <c r="K15" s="20" t="inlineStr">
        <is>
          <t>✓ In Stock</t>
        </is>
      </c>
      <c r="L15" s="21" t="inlineStr">
        <is>
          <t>✕</t>
        </is>
      </c>
      <c r="M15" s="21" t="inlineStr">
        <is>
          <t>✕</t>
        </is>
      </c>
      <c r="N15" s="21" t="inlineStr">
        <is>
          <t>✕</t>
        </is>
      </c>
      <c r="O15" s="21" t="inlineStr">
        <is>
          <t>✕</t>
        </is>
      </c>
      <c r="P15" s="21" t="inlineStr">
        <is>
          <t>✕</t>
        </is>
      </c>
      <c r="Q15" s="21" t="inlineStr">
        <is>
          <t>✕</t>
        </is>
      </c>
      <c r="R15" s="22" t="n">
        <v>1</v>
      </c>
      <c r="S15" s="23" t="n"/>
      <c r="T15" s="22" t="n">
        <v>21</v>
      </c>
      <c r="U15" s="23" t="n"/>
      <c r="V15" s="31" t="inlineStr">
        <is>
          <t>0</t>
        </is>
      </c>
      <c r="W15" s="31" t="n"/>
      <c r="X15" s="21" t="inlineStr">
        <is>
          <t>✕</t>
        </is>
      </c>
      <c r="Y15" s="21" t="inlineStr">
        <is>
          <t>✕</t>
        </is>
      </c>
      <c r="Z15" s="21" t="inlineStr">
        <is>
          <t>✕</t>
        </is>
      </c>
      <c r="AA15" s="21" t="inlineStr">
        <is>
          <t>✕</t>
        </is>
      </c>
      <c r="AB15" s="24">
        <f>IFERROR(S15,0)+IFERROR(U15,0)</f>
        <v/>
      </c>
      <c r="AC15" s="17">
        <f>AB15*H15</f>
        <v/>
      </c>
    </row>
    <row r="16" ht="46" customHeight="1">
      <c r="A16" s="10" t="inlineStr">
        <is>
          <t>↑ photo</t>
        </is>
      </c>
      <c r="B16" s="11" t="inlineStr">
        <is>
          <t>NM-26S-SET-BAEV</t>
        </is>
      </c>
      <c r="C16" s="12" t="inlineStr">
        <is>
          <t>Everyday Bebesuit</t>
        </is>
      </c>
      <c r="D16" s="13" t="inlineStr">
        <is>
          <t>SET</t>
        </is>
      </c>
      <c r="E16" s="14" t="inlineStr">
        <is>
          <t>Baby Blue</t>
        </is>
      </c>
      <c r="F16" s="15" t="inlineStr">
        <is>
          <t>—</t>
        </is>
      </c>
      <c r="G16" s="16" t="inlineStr">
        <is>
          <t>Everyday stripe bebesuit set, gentle on delicate skin.</t>
        </is>
      </c>
      <c r="H16" s="17" t="n">
        <v>21</v>
      </c>
      <c r="I16" s="18" t="n">
        <v>46</v>
      </c>
      <c r="J16" s="19" t="n">
        <v>24</v>
      </c>
      <c r="K16" s="20" t="inlineStr">
        <is>
          <t>✓ In Stock</t>
        </is>
      </c>
      <c r="L16" s="21" t="inlineStr">
        <is>
          <t>✕</t>
        </is>
      </c>
      <c r="M16" s="21" t="inlineStr">
        <is>
          <t>✕</t>
        </is>
      </c>
      <c r="N16" s="31" t="inlineStr">
        <is>
          <t>0</t>
        </is>
      </c>
      <c r="O16" s="31" t="n"/>
      <c r="P16" s="22" t="n">
        <v>24</v>
      </c>
      <c r="Q16" s="23" t="n"/>
      <c r="R16" s="21" t="inlineStr">
        <is>
          <t>✕</t>
        </is>
      </c>
      <c r="S16" s="21" t="inlineStr">
        <is>
          <t>✕</t>
        </is>
      </c>
      <c r="T16" s="21" t="inlineStr">
        <is>
          <t>✕</t>
        </is>
      </c>
      <c r="U16" s="21" t="inlineStr">
        <is>
          <t>✕</t>
        </is>
      </c>
      <c r="V16" s="21" t="inlineStr">
        <is>
          <t>✕</t>
        </is>
      </c>
      <c r="W16" s="21" t="inlineStr">
        <is>
          <t>✕</t>
        </is>
      </c>
      <c r="X16" s="21" t="inlineStr">
        <is>
          <t>✕</t>
        </is>
      </c>
      <c r="Y16" s="21" t="inlineStr">
        <is>
          <t>✕</t>
        </is>
      </c>
      <c r="Z16" s="21" t="inlineStr">
        <is>
          <t>✕</t>
        </is>
      </c>
      <c r="AA16" s="21" t="inlineStr">
        <is>
          <t>✕</t>
        </is>
      </c>
      <c r="AB16" s="24">
        <f>IFERROR(Q16,0)</f>
        <v/>
      </c>
      <c r="AC16" s="17">
        <f>AB16*H16</f>
        <v/>
      </c>
    </row>
    <row r="17" ht="46" customHeight="1">
      <c r="A17" s="10" t="inlineStr">
        <is>
          <t>↑ photo</t>
        </is>
      </c>
      <c r="B17" s="25" t="inlineStr">
        <is>
          <t>NM-26S-SET-BAEV</t>
        </is>
      </c>
      <c r="C17" s="26" t="inlineStr">
        <is>
          <t>Everyday Bebesuit</t>
        </is>
      </c>
      <c r="D17" s="13" t="inlineStr">
        <is>
          <t>SET</t>
        </is>
      </c>
      <c r="E17" s="27" t="inlineStr">
        <is>
          <t>Baby Pink</t>
        </is>
      </c>
      <c r="F17" s="28" t="inlineStr">
        <is>
          <t>—</t>
        </is>
      </c>
      <c r="G17" s="29" t="inlineStr">
        <is>
          <t>Everyday stripe bebesuit set, gentle on delicate skin.</t>
        </is>
      </c>
      <c r="H17" s="17" t="n">
        <v>21</v>
      </c>
      <c r="I17" s="30" t="n">
        <v>46</v>
      </c>
      <c r="J17" s="19" t="n">
        <v>21</v>
      </c>
      <c r="K17" s="20" t="inlineStr">
        <is>
          <t>✓ In Stock</t>
        </is>
      </c>
      <c r="L17" s="21" t="inlineStr">
        <is>
          <t>✕</t>
        </is>
      </c>
      <c r="M17" s="21" t="inlineStr">
        <is>
          <t>✕</t>
        </is>
      </c>
      <c r="N17" s="31" t="inlineStr">
        <is>
          <t>0</t>
        </is>
      </c>
      <c r="O17" s="31" t="n"/>
      <c r="P17" s="22" t="n">
        <v>21</v>
      </c>
      <c r="Q17" s="23" t="n"/>
      <c r="R17" s="21" t="inlineStr">
        <is>
          <t>✕</t>
        </is>
      </c>
      <c r="S17" s="21" t="inlineStr">
        <is>
          <t>✕</t>
        </is>
      </c>
      <c r="T17" s="21" t="inlineStr">
        <is>
          <t>✕</t>
        </is>
      </c>
      <c r="U17" s="21" t="inlineStr">
        <is>
          <t>✕</t>
        </is>
      </c>
      <c r="V17" s="21" t="inlineStr">
        <is>
          <t>✕</t>
        </is>
      </c>
      <c r="W17" s="21" t="inlineStr">
        <is>
          <t>✕</t>
        </is>
      </c>
      <c r="X17" s="21" t="inlineStr">
        <is>
          <t>✕</t>
        </is>
      </c>
      <c r="Y17" s="21" t="inlineStr">
        <is>
          <t>✕</t>
        </is>
      </c>
      <c r="Z17" s="21" t="inlineStr">
        <is>
          <t>✕</t>
        </is>
      </c>
      <c r="AA17" s="21" t="inlineStr">
        <is>
          <t>✕</t>
        </is>
      </c>
      <c r="AB17" s="24">
        <f>IFERROR(Q17,0)</f>
        <v/>
      </c>
      <c r="AC17" s="17">
        <f>AB17*H17</f>
        <v/>
      </c>
    </row>
    <row r="18" ht="46" customHeight="1">
      <c r="A18" s="10" t="inlineStr">
        <is>
          <t>↑ photo</t>
        </is>
      </c>
      <c r="B18" s="11" t="inlineStr">
        <is>
          <t>NM-26S-SET-AMLI</t>
        </is>
      </c>
      <c r="C18" s="12" t="inlineStr">
        <is>
          <t>Little Palette Set v2</t>
        </is>
      </c>
      <c r="D18" s="13" t="inlineStr">
        <is>
          <t>SET</t>
        </is>
      </c>
      <c r="E18" s="14" t="inlineStr">
        <is>
          <t>Amsterdam</t>
        </is>
      </c>
      <c r="F18" s="15" t="inlineStr">
        <is>
          <t>—</t>
        </is>
      </c>
      <c r="G18" s="16" t="inlineStr">
        <is>
          <t>Playful colorblock sweat set.</t>
        </is>
      </c>
      <c r="H18" s="17" t="n">
        <v>39</v>
      </c>
      <c r="I18" s="18" t="n">
        <v>86</v>
      </c>
      <c r="J18" s="19" t="n">
        <v>57</v>
      </c>
      <c r="K18" s="20" t="inlineStr">
        <is>
          <t>✓ In Stock</t>
        </is>
      </c>
      <c r="L18" s="21" t="inlineStr">
        <is>
          <t>✕</t>
        </is>
      </c>
      <c r="M18" s="21" t="inlineStr">
        <is>
          <t>✕</t>
        </is>
      </c>
      <c r="N18" s="21" t="inlineStr">
        <is>
          <t>✕</t>
        </is>
      </c>
      <c r="O18" s="21" t="inlineStr">
        <is>
          <t>✕</t>
        </is>
      </c>
      <c r="P18" s="21" t="inlineStr">
        <is>
          <t>✕</t>
        </is>
      </c>
      <c r="Q18" s="21" t="inlineStr">
        <is>
          <t>✕</t>
        </is>
      </c>
      <c r="R18" s="22" t="n">
        <v>10</v>
      </c>
      <c r="S18" s="23" t="n"/>
      <c r="T18" s="22" t="n">
        <v>17</v>
      </c>
      <c r="U18" s="23" t="n"/>
      <c r="V18" s="22" t="n">
        <v>14</v>
      </c>
      <c r="W18" s="23" t="n"/>
      <c r="X18" s="22" t="n">
        <v>11</v>
      </c>
      <c r="Y18" s="23" t="n"/>
      <c r="Z18" s="22" t="n">
        <v>5</v>
      </c>
      <c r="AA18" s="23" t="n"/>
      <c r="AB18" s="24">
        <f>IFERROR(S18,0)+IFERROR(U18,0)+IFERROR(W18,0)+IFERROR(Y18,0)+IFERROR(AA18,0)</f>
        <v/>
      </c>
      <c r="AC18" s="17">
        <f>AB18*H18</f>
        <v/>
      </c>
    </row>
    <row r="19" ht="46" customHeight="1">
      <c r="A19" s="10" t="inlineStr">
        <is>
          <t>↑ photo</t>
        </is>
      </c>
      <c r="B19" s="25" t="inlineStr">
        <is>
          <t>NM-26S-SET-BLNE</t>
        </is>
      </c>
      <c r="C19" s="26" t="inlineStr">
        <is>
          <t>New Modal Loungewear</t>
        </is>
      </c>
      <c r="D19" s="13" t="inlineStr">
        <is>
          <t>SET</t>
        </is>
      </c>
      <c r="E19" s="27" t="inlineStr">
        <is>
          <t>Blue</t>
        </is>
      </c>
      <c r="F19" s="28" t="inlineStr">
        <is>
          <t>—</t>
        </is>
      </c>
      <c r="G19" s="29" t="inlineStr">
        <is>
          <t>Color block ribbed modal loungewear set.</t>
        </is>
      </c>
      <c r="H19" s="17" t="n">
        <v>29</v>
      </c>
      <c r="I19" s="30" t="n">
        <v>70</v>
      </c>
      <c r="J19" s="19" t="n">
        <v>18</v>
      </c>
      <c r="K19" s="20" t="inlineStr">
        <is>
          <t>✓ In Stock</t>
        </is>
      </c>
      <c r="L19" s="21" t="inlineStr">
        <is>
          <t>✕</t>
        </is>
      </c>
      <c r="M19" s="21" t="inlineStr">
        <is>
          <t>✕</t>
        </is>
      </c>
      <c r="N19" s="21" t="inlineStr">
        <is>
          <t>✕</t>
        </is>
      </c>
      <c r="O19" s="21" t="inlineStr">
        <is>
          <t>✕</t>
        </is>
      </c>
      <c r="P19" s="21" t="inlineStr">
        <is>
          <t>✕</t>
        </is>
      </c>
      <c r="Q19" s="21" t="inlineStr">
        <is>
          <t>✕</t>
        </is>
      </c>
      <c r="R19" s="31" t="inlineStr">
        <is>
          <t>0</t>
        </is>
      </c>
      <c r="S19" s="31" t="n"/>
      <c r="T19" s="31" t="inlineStr">
        <is>
          <t>0</t>
        </is>
      </c>
      <c r="U19" s="31" t="n"/>
      <c r="V19" s="31" t="inlineStr">
        <is>
          <t>0</t>
        </is>
      </c>
      <c r="W19" s="31" t="n"/>
      <c r="X19" s="22" t="n">
        <v>8</v>
      </c>
      <c r="Y19" s="23" t="n"/>
      <c r="Z19" s="22" t="n">
        <v>10</v>
      </c>
      <c r="AA19" s="23" t="n"/>
      <c r="AB19" s="24">
        <f>IFERROR(Y19,0)+IFERROR(AA19,0)</f>
        <v/>
      </c>
      <c r="AC19" s="17">
        <f>AB19*H19</f>
        <v/>
      </c>
    </row>
    <row r="20" ht="46" customHeight="1">
      <c r="A20" s="10" t="inlineStr">
        <is>
          <t>↑ photo</t>
        </is>
      </c>
      <c r="B20" s="11" t="inlineStr">
        <is>
          <t>NM-26S-SET-PINE</t>
        </is>
      </c>
      <c r="C20" s="12" t="inlineStr">
        <is>
          <t>New Modal Loungewear</t>
        </is>
      </c>
      <c r="D20" s="13" t="inlineStr">
        <is>
          <t>SET</t>
        </is>
      </c>
      <c r="E20" s="14" t="inlineStr">
        <is>
          <t>Pink</t>
        </is>
      </c>
      <c r="F20" s="15" t="inlineStr">
        <is>
          <t>—</t>
        </is>
      </c>
      <c r="G20" s="16" t="inlineStr">
        <is>
          <t>Color block ribbed modal loungewear set.</t>
        </is>
      </c>
      <c r="H20" s="17" t="n">
        <v>29</v>
      </c>
      <c r="I20" s="18" t="n">
        <v>70</v>
      </c>
      <c r="J20" s="19" t="n">
        <v>61</v>
      </c>
      <c r="K20" s="20" t="inlineStr">
        <is>
          <t>✓ In Stock</t>
        </is>
      </c>
      <c r="L20" s="21" t="inlineStr">
        <is>
          <t>✕</t>
        </is>
      </c>
      <c r="M20" s="21" t="inlineStr">
        <is>
          <t>✕</t>
        </is>
      </c>
      <c r="N20" s="21" t="inlineStr">
        <is>
          <t>✕</t>
        </is>
      </c>
      <c r="O20" s="21" t="inlineStr">
        <is>
          <t>✕</t>
        </is>
      </c>
      <c r="P20" s="21" t="inlineStr">
        <is>
          <t>✕</t>
        </is>
      </c>
      <c r="Q20" s="21" t="inlineStr">
        <is>
          <t>✕</t>
        </is>
      </c>
      <c r="R20" s="31" t="inlineStr">
        <is>
          <t>0</t>
        </is>
      </c>
      <c r="S20" s="31" t="n"/>
      <c r="T20" s="22" t="n">
        <v>21</v>
      </c>
      <c r="U20" s="23" t="n"/>
      <c r="V20" s="22" t="n">
        <v>10</v>
      </c>
      <c r="W20" s="23" t="n"/>
      <c r="X20" s="22" t="n">
        <v>20</v>
      </c>
      <c r="Y20" s="23" t="n"/>
      <c r="Z20" s="22" t="n">
        <v>10</v>
      </c>
      <c r="AA20" s="23" t="n"/>
      <c r="AB20" s="24">
        <f>IFERROR(U20,0)+IFERROR(W20,0)+IFERROR(Y20,0)+IFERROR(AA20,0)</f>
        <v/>
      </c>
      <c r="AC20" s="17">
        <f>AB20*H20</f>
        <v/>
      </c>
    </row>
    <row r="21" ht="46" customHeight="1">
      <c r="A21" s="10" t="inlineStr">
        <is>
          <t>↑ photo</t>
        </is>
      </c>
      <c r="B21" s="25" t="inlineStr">
        <is>
          <t>NM-26S-SET-PUSI</t>
        </is>
      </c>
      <c r="C21" s="26" t="inlineStr">
        <is>
          <t>Signature Classic</t>
        </is>
      </c>
      <c r="D21" s="13" t="inlineStr">
        <is>
          <t>SET</t>
        </is>
      </c>
      <c r="E21" s="27" t="inlineStr">
        <is>
          <t>Purple</t>
        </is>
      </c>
      <c r="F21" s="28" t="inlineStr">
        <is>
          <t>Basic</t>
        </is>
      </c>
      <c r="G21" s="29" t="inlineStr">
        <is>
          <t>Signature classic set, basic neckline.</t>
        </is>
      </c>
      <c r="H21" s="17" t="n">
        <v>29</v>
      </c>
      <c r="I21" s="30" t="n">
        <v>63</v>
      </c>
      <c r="J21" s="19" t="n">
        <v>51</v>
      </c>
      <c r="K21" s="20" t="inlineStr">
        <is>
          <t>✓ In Stock</t>
        </is>
      </c>
      <c r="L21" s="21" t="inlineStr">
        <is>
          <t>✕</t>
        </is>
      </c>
      <c r="M21" s="21" t="inlineStr">
        <is>
          <t>✕</t>
        </is>
      </c>
      <c r="N21" s="21" t="inlineStr">
        <is>
          <t>✕</t>
        </is>
      </c>
      <c r="O21" s="21" t="inlineStr">
        <is>
          <t>✕</t>
        </is>
      </c>
      <c r="P21" s="21" t="inlineStr">
        <is>
          <t>✕</t>
        </is>
      </c>
      <c r="Q21" s="21" t="inlineStr">
        <is>
          <t>✕</t>
        </is>
      </c>
      <c r="R21" s="22" t="n">
        <v>4</v>
      </c>
      <c r="S21" s="23" t="n"/>
      <c r="T21" s="22" t="n">
        <v>10</v>
      </c>
      <c r="U21" s="23" t="n"/>
      <c r="V21" s="22" t="n">
        <v>16</v>
      </c>
      <c r="W21" s="23" t="n"/>
      <c r="X21" s="22" t="n">
        <v>9</v>
      </c>
      <c r="Y21" s="23" t="n"/>
      <c r="Z21" s="22" t="n">
        <v>12</v>
      </c>
      <c r="AA21" s="23" t="n"/>
      <c r="AB21" s="24">
        <f>IFERROR(S21,0)+IFERROR(U21,0)+IFERROR(W21,0)+IFERROR(Y21,0)+IFERROR(AA21,0)</f>
        <v/>
      </c>
      <c r="AC21" s="17">
        <f>AB21*H21</f>
        <v/>
      </c>
    </row>
    <row r="22" ht="46" customHeight="1">
      <c r="A22" s="10" t="inlineStr">
        <is>
          <t>↑ photo</t>
        </is>
      </c>
      <c r="B22" s="11" t="inlineStr">
        <is>
          <t>NM-26S-SET-PUSI</t>
        </is>
      </c>
      <c r="C22" s="12" t="inlineStr">
        <is>
          <t>Signature Classic</t>
        </is>
      </c>
      <c r="D22" s="13" t="inlineStr">
        <is>
          <t>SET</t>
        </is>
      </c>
      <c r="E22" s="14" t="inlineStr">
        <is>
          <t>Purple</t>
        </is>
      </c>
      <c r="F22" s="15" t="inlineStr">
        <is>
          <t>Frill</t>
        </is>
      </c>
      <c r="G22" s="16" t="inlineStr">
        <is>
          <t>Signature classic set, frill neckline.</t>
        </is>
      </c>
      <c r="H22" s="17" t="n">
        <v>29</v>
      </c>
      <c r="I22" s="18" t="n">
        <v>63</v>
      </c>
      <c r="J22" s="19" t="n">
        <v>21</v>
      </c>
      <c r="K22" s="20" t="inlineStr">
        <is>
          <t>✓ In Stock</t>
        </is>
      </c>
      <c r="L22" s="21" t="inlineStr">
        <is>
          <t>✕</t>
        </is>
      </c>
      <c r="M22" s="21" t="inlineStr">
        <is>
          <t>✕</t>
        </is>
      </c>
      <c r="N22" s="21" t="inlineStr">
        <is>
          <t>✕</t>
        </is>
      </c>
      <c r="O22" s="21" t="inlineStr">
        <is>
          <t>✕</t>
        </is>
      </c>
      <c r="P22" s="21" t="inlineStr">
        <is>
          <t>✕</t>
        </is>
      </c>
      <c r="Q22" s="21" t="inlineStr">
        <is>
          <t>✕</t>
        </is>
      </c>
      <c r="R22" s="31" t="inlineStr">
        <is>
          <t>0</t>
        </is>
      </c>
      <c r="S22" s="31" t="n"/>
      <c r="T22" s="31" t="inlineStr">
        <is>
          <t>0</t>
        </is>
      </c>
      <c r="U22" s="31" t="n"/>
      <c r="V22" s="22" t="n">
        <v>13</v>
      </c>
      <c r="W22" s="23" t="n"/>
      <c r="X22" s="31" t="inlineStr">
        <is>
          <t>0</t>
        </is>
      </c>
      <c r="Y22" s="31" t="n"/>
      <c r="Z22" s="22" t="n">
        <v>8</v>
      </c>
      <c r="AA22" s="23" t="n"/>
      <c r="AB22" s="24">
        <f>IFERROR(W22,0)+IFERROR(AA22,0)</f>
        <v/>
      </c>
      <c r="AC22" s="17">
        <f>AB22*H22</f>
        <v/>
      </c>
    </row>
    <row r="23" ht="46" customHeight="1">
      <c r="A23" s="10" t="inlineStr">
        <is>
          <t>↑ photo</t>
        </is>
      </c>
      <c r="B23" s="25" t="inlineStr">
        <is>
          <t>NM-26S-SET-YESI</t>
        </is>
      </c>
      <c r="C23" s="26" t="inlineStr">
        <is>
          <t>Signature Classic</t>
        </is>
      </c>
      <c r="D23" s="13" t="inlineStr">
        <is>
          <t>SET</t>
        </is>
      </c>
      <c r="E23" s="27" t="inlineStr">
        <is>
          <t>Yellow</t>
        </is>
      </c>
      <c r="F23" s="28" t="inlineStr">
        <is>
          <t>Basic</t>
        </is>
      </c>
      <c r="G23" s="29" t="inlineStr">
        <is>
          <t>Signature classic set, basic neckline.</t>
        </is>
      </c>
      <c r="H23" s="17" t="n">
        <v>29</v>
      </c>
      <c r="I23" s="30" t="n">
        <v>63</v>
      </c>
      <c r="J23" s="19" t="n">
        <v>47</v>
      </c>
      <c r="K23" s="20" t="inlineStr">
        <is>
          <t>✓ In Stock</t>
        </is>
      </c>
      <c r="L23" s="21" t="inlineStr">
        <is>
          <t>✕</t>
        </is>
      </c>
      <c r="M23" s="21" t="inlineStr">
        <is>
          <t>✕</t>
        </is>
      </c>
      <c r="N23" s="21" t="inlineStr">
        <is>
          <t>✕</t>
        </is>
      </c>
      <c r="O23" s="21" t="inlineStr">
        <is>
          <t>✕</t>
        </is>
      </c>
      <c r="P23" s="21" t="inlineStr">
        <is>
          <t>✕</t>
        </is>
      </c>
      <c r="Q23" s="21" t="inlineStr">
        <is>
          <t>✕</t>
        </is>
      </c>
      <c r="R23" s="22" t="n">
        <v>1</v>
      </c>
      <c r="S23" s="23" t="n"/>
      <c r="T23" s="22" t="n">
        <v>6</v>
      </c>
      <c r="U23" s="23" t="n"/>
      <c r="V23" s="22" t="n">
        <v>20</v>
      </c>
      <c r="W23" s="23" t="n"/>
      <c r="X23" s="22" t="n">
        <v>8</v>
      </c>
      <c r="Y23" s="23" t="n"/>
      <c r="Z23" s="22" t="n">
        <v>12</v>
      </c>
      <c r="AA23" s="23" t="n"/>
      <c r="AB23" s="24">
        <f>IFERROR(S23,0)+IFERROR(U23,0)+IFERROR(W23,0)+IFERROR(Y23,0)+IFERROR(AA23,0)</f>
        <v/>
      </c>
      <c r="AC23" s="17">
        <f>AB23*H23</f>
        <v/>
      </c>
    </row>
    <row r="24" ht="46" customHeight="1">
      <c r="A24" s="10" t="inlineStr">
        <is>
          <t>↑ photo</t>
        </is>
      </c>
      <c r="B24" s="11" t="inlineStr">
        <is>
          <t>NM-26S-SET-YESI</t>
        </is>
      </c>
      <c r="C24" s="12" t="inlineStr">
        <is>
          <t>Signature Classic</t>
        </is>
      </c>
      <c r="D24" s="13" t="inlineStr">
        <is>
          <t>SET</t>
        </is>
      </c>
      <c r="E24" s="14" t="inlineStr">
        <is>
          <t>Yellow</t>
        </is>
      </c>
      <c r="F24" s="15" t="inlineStr">
        <is>
          <t>Frill</t>
        </is>
      </c>
      <c r="G24" s="16" t="inlineStr">
        <is>
          <t>Signature classic set, frill neckline.</t>
        </is>
      </c>
      <c r="H24" s="17" t="n">
        <v>29</v>
      </c>
      <c r="I24" s="18" t="n">
        <v>63</v>
      </c>
      <c r="J24" s="19" t="n">
        <v>37</v>
      </c>
      <c r="K24" s="20" t="inlineStr">
        <is>
          <t>✓ In Stock</t>
        </is>
      </c>
      <c r="L24" s="21" t="inlineStr">
        <is>
          <t>✕</t>
        </is>
      </c>
      <c r="M24" s="21" t="inlineStr">
        <is>
          <t>✕</t>
        </is>
      </c>
      <c r="N24" s="21" t="inlineStr">
        <is>
          <t>✕</t>
        </is>
      </c>
      <c r="O24" s="21" t="inlineStr">
        <is>
          <t>✕</t>
        </is>
      </c>
      <c r="P24" s="21" t="inlineStr">
        <is>
          <t>✕</t>
        </is>
      </c>
      <c r="Q24" s="21" t="inlineStr">
        <is>
          <t>✕</t>
        </is>
      </c>
      <c r="R24" s="22" t="n">
        <v>6</v>
      </c>
      <c r="S24" s="23" t="n"/>
      <c r="T24" s="22" t="n">
        <v>2</v>
      </c>
      <c r="U24" s="23" t="n"/>
      <c r="V24" s="22" t="n">
        <v>11</v>
      </c>
      <c r="W24" s="23" t="n"/>
      <c r="X24" s="22" t="n">
        <v>7</v>
      </c>
      <c r="Y24" s="23" t="n"/>
      <c r="Z24" s="22" t="n">
        <v>11</v>
      </c>
      <c r="AA24" s="23" t="n"/>
      <c r="AB24" s="24">
        <f>IFERROR(S24,0)+IFERROR(U24,0)+IFERROR(W24,0)+IFERROR(Y24,0)+IFERROR(AA24,0)</f>
        <v/>
      </c>
      <c r="AC24" s="17">
        <f>AB24*H24</f>
        <v/>
      </c>
    </row>
    <row r="25" ht="46" customHeight="1">
      <c r="A25" s="10" t="inlineStr">
        <is>
          <t>↑ photo</t>
        </is>
      </c>
      <c r="B25" s="25" t="inlineStr">
        <is>
          <t>NM-26S-SET-LISO</t>
        </is>
      </c>
      <c r="C25" s="26" t="inlineStr">
        <is>
          <t>Soft Collar Set</t>
        </is>
      </c>
      <c r="D25" s="13" t="inlineStr">
        <is>
          <t>SET</t>
        </is>
      </c>
      <c r="E25" s="27" t="inlineStr">
        <is>
          <t>Lime Yellow</t>
        </is>
      </c>
      <c r="F25" s="28" t="inlineStr">
        <is>
          <t>—</t>
        </is>
      </c>
      <c r="G25" s="29" t="inlineStr">
        <is>
          <t>Soft collar top and pants set.</t>
        </is>
      </c>
      <c r="H25" s="17" t="n">
        <v>41</v>
      </c>
      <c r="I25" s="30" t="n">
        <v>82</v>
      </c>
      <c r="J25" s="19" t="n">
        <v>28</v>
      </c>
      <c r="K25" s="20" t="inlineStr">
        <is>
          <t>✓ In Stock</t>
        </is>
      </c>
      <c r="L25" s="21" t="inlineStr">
        <is>
          <t>✕</t>
        </is>
      </c>
      <c r="M25" s="21" t="inlineStr">
        <is>
          <t>✕</t>
        </is>
      </c>
      <c r="N25" s="21" t="inlineStr">
        <is>
          <t>✕</t>
        </is>
      </c>
      <c r="O25" s="21" t="inlineStr">
        <is>
          <t>✕</t>
        </is>
      </c>
      <c r="P25" s="21" t="inlineStr">
        <is>
          <t>✕</t>
        </is>
      </c>
      <c r="Q25" s="21" t="inlineStr">
        <is>
          <t>✕</t>
        </is>
      </c>
      <c r="R25" s="31" t="inlineStr">
        <is>
          <t>0</t>
        </is>
      </c>
      <c r="S25" s="31" t="n"/>
      <c r="T25" s="31" t="inlineStr">
        <is>
          <t>0</t>
        </is>
      </c>
      <c r="U25" s="31" t="n"/>
      <c r="V25" s="22" t="n">
        <v>2</v>
      </c>
      <c r="W25" s="23" t="n"/>
      <c r="X25" s="22" t="n">
        <v>12</v>
      </c>
      <c r="Y25" s="23" t="n"/>
      <c r="Z25" s="22" t="n">
        <v>14</v>
      </c>
      <c r="AA25" s="23" t="n"/>
      <c r="AB25" s="24">
        <f>IFERROR(W25,0)+IFERROR(Y25,0)+IFERROR(AA25,0)</f>
        <v/>
      </c>
      <c r="AC25" s="17">
        <f>AB25*H25</f>
        <v/>
      </c>
    </row>
    <row r="26" ht="46" customHeight="1">
      <c r="A26" s="10" t="inlineStr">
        <is>
          <t>↑ photo</t>
        </is>
      </c>
      <c r="B26" s="11" t="inlineStr">
        <is>
          <t>NM-26S-SET-WASO</t>
        </is>
      </c>
      <c r="C26" s="12" t="inlineStr">
        <is>
          <t>Soft Collar Set</t>
        </is>
      </c>
      <c r="D26" s="13" t="inlineStr">
        <is>
          <t>SET</t>
        </is>
      </c>
      <c r="E26" s="14" t="inlineStr">
        <is>
          <t>Warm Grey</t>
        </is>
      </c>
      <c r="F26" s="15" t="inlineStr">
        <is>
          <t>—</t>
        </is>
      </c>
      <c r="G26" s="16" t="inlineStr">
        <is>
          <t>Soft collar top and pants set.</t>
        </is>
      </c>
      <c r="H26" s="17" t="n">
        <v>41</v>
      </c>
      <c r="I26" s="18" t="n">
        <v>82</v>
      </c>
      <c r="J26" s="19" t="n">
        <v>60</v>
      </c>
      <c r="K26" s="20" t="inlineStr">
        <is>
          <t>✓ In Stock</t>
        </is>
      </c>
      <c r="L26" s="21" t="inlineStr">
        <is>
          <t>✕</t>
        </is>
      </c>
      <c r="M26" s="21" t="inlineStr">
        <is>
          <t>✕</t>
        </is>
      </c>
      <c r="N26" s="21" t="inlineStr">
        <is>
          <t>✕</t>
        </is>
      </c>
      <c r="O26" s="21" t="inlineStr">
        <is>
          <t>✕</t>
        </is>
      </c>
      <c r="P26" s="21" t="inlineStr">
        <is>
          <t>✕</t>
        </is>
      </c>
      <c r="Q26" s="21" t="inlineStr">
        <is>
          <t>✕</t>
        </is>
      </c>
      <c r="R26" s="31" t="inlineStr">
        <is>
          <t>0</t>
        </is>
      </c>
      <c r="S26" s="31" t="n"/>
      <c r="T26" s="22" t="n">
        <v>7</v>
      </c>
      <c r="U26" s="23" t="n"/>
      <c r="V26" s="22" t="n">
        <v>19</v>
      </c>
      <c r="W26" s="23" t="n"/>
      <c r="X26" s="22" t="n">
        <v>17</v>
      </c>
      <c r="Y26" s="23" t="n"/>
      <c r="Z26" s="22" t="n">
        <v>17</v>
      </c>
      <c r="AA26" s="23" t="n"/>
      <c r="AB26" s="24">
        <f>IFERROR(U26,0)+IFERROR(W26,0)+IFERROR(Y26,0)+IFERROR(AA26,0)</f>
        <v/>
      </c>
      <c r="AC26" s="17">
        <f>AB26*H26</f>
        <v/>
      </c>
    </row>
    <row r="27" ht="46" customHeight="1">
      <c r="A27" s="10" t="inlineStr">
        <is>
          <t>↑ photo</t>
        </is>
      </c>
      <c r="B27" s="25" t="inlineStr">
        <is>
          <t>NM-26S-SET-BLST</t>
        </is>
      </c>
      <c r="C27" s="26" t="inlineStr">
        <is>
          <t>Stripe Classic Set</t>
        </is>
      </c>
      <c r="D27" s="13" t="inlineStr">
        <is>
          <t>SET</t>
        </is>
      </c>
      <c r="E27" s="27" t="inlineStr">
        <is>
          <t>Black</t>
        </is>
      </c>
      <c r="F27" s="28" t="inlineStr">
        <is>
          <t>—</t>
        </is>
      </c>
      <c r="G27" s="29" t="inlineStr">
        <is>
          <t>Classic stripe matching set, relaxed everyday fit.</t>
        </is>
      </c>
      <c r="H27" s="17" t="n">
        <v>30</v>
      </c>
      <c r="I27" s="30" t="n">
        <v>57</v>
      </c>
      <c r="J27" s="19" t="n">
        <v>8</v>
      </c>
      <c r="K27" s="20" t="inlineStr">
        <is>
          <t>✓ In Stock</t>
        </is>
      </c>
      <c r="L27" s="21" t="inlineStr">
        <is>
          <t>✕</t>
        </is>
      </c>
      <c r="M27" s="21" t="inlineStr">
        <is>
          <t>✕</t>
        </is>
      </c>
      <c r="N27" s="21" t="inlineStr">
        <is>
          <t>✕</t>
        </is>
      </c>
      <c r="O27" s="21" t="inlineStr">
        <is>
          <t>✕</t>
        </is>
      </c>
      <c r="P27" s="21" t="inlineStr">
        <is>
          <t>✕</t>
        </is>
      </c>
      <c r="Q27" s="21" t="inlineStr">
        <is>
          <t>✕</t>
        </is>
      </c>
      <c r="R27" s="31" t="inlineStr">
        <is>
          <t>0</t>
        </is>
      </c>
      <c r="S27" s="31" t="n"/>
      <c r="T27" s="22" t="n">
        <v>5</v>
      </c>
      <c r="U27" s="23" t="n"/>
      <c r="V27" s="31" t="inlineStr">
        <is>
          <t>0</t>
        </is>
      </c>
      <c r="W27" s="31" t="n"/>
      <c r="X27" s="31" t="inlineStr">
        <is>
          <t>0</t>
        </is>
      </c>
      <c r="Y27" s="31" t="n"/>
      <c r="Z27" s="22" t="n">
        <v>3</v>
      </c>
      <c r="AA27" s="23" t="n"/>
      <c r="AB27" s="24">
        <f>IFERROR(U27,0)+IFERROR(AA27,0)</f>
        <v/>
      </c>
      <c r="AC27" s="17">
        <f>AB27*H27</f>
        <v/>
      </c>
    </row>
    <row r="28" ht="46" customHeight="1">
      <c r="A28" s="10" t="inlineStr">
        <is>
          <t>↑ photo</t>
        </is>
      </c>
      <c r="B28" s="11" t="inlineStr">
        <is>
          <t>NM-26S-SET-SOST</t>
        </is>
      </c>
      <c r="C28" s="12" t="inlineStr">
        <is>
          <t>Stripe Classic Set</t>
        </is>
      </c>
      <c r="D28" s="13" t="inlineStr">
        <is>
          <t>SET</t>
        </is>
      </c>
      <c r="E28" s="14" t="inlineStr">
        <is>
          <t>Soft Grey</t>
        </is>
      </c>
      <c r="F28" s="15" t="inlineStr">
        <is>
          <t>—</t>
        </is>
      </c>
      <c r="G28" s="16" t="inlineStr">
        <is>
          <t>Classic stripe matching set, relaxed everyday fit.</t>
        </is>
      </c>
      <c r="H28" s="17" t="n">
        <v>30</v>
      </c>
      <c r="I28" s="18" t="n">
        <v>57</v>
      </c>
      <c r="J28" s="19" t="n">
        <v>14</v>
      </c>
      <c r="K28" s="20" t="inlineStr">
        <is>
          <t>✓ In Stock</t>
        </is>
      </c>
      <c r="L28" s="21" t="inlineStr">
        <is>
          <t>✕</t>
        </is>
      </c>
      <c r="M28" s="21" t="inlineStr">
        <is>
          <t>✕</t>
        </is>
      </c>
      <c r="N28" s="21" t="inlineStr">
        <is>
          <t>✕</t>
        </is>
      </c>
      <c r="O28" s="21" t="inlineStr">
        <is>
          <t>✕</t>
        </is>
      </c>
      <c r="P28" s="21" t="inlineStr">
        <is>
          <t>✕</t>
        </is>
      </c>
      <c r="Q28" s="21" t="inlineStr">
        <is>
          <t>✕</t>
        </is>
      </c>
      <c r="R28" s="22" t="n">
        <v>4</v>
      </c>
      <c r="S28" s="23" t="n"/>
      <c r="T28" s="22" t="n">
        <v>2</v>
      </c>
      <c r="U28" s="23" t="n"/>
      <c r="V28" s="31" t="inlineStr">
        <is>
          <t>0</t>
        </is>
      </c>
      <c r="W28" s="31" t="n"/>
      <c r="X28" s="31" t="inlineStr">
        <is>
          <t>0</t>
        </is>
      </c>
      <c r="Y28" s="31" t="n"/>
      <c r="Z28" s="22" t="n">
        <v>8</v>
      </c>
      <c r="AA28" s="23" t="n"/>
      <c r="AB28" s="24">
        <f>IFERROR(S28,0)+IFERROR(U28,0)+IFERROR(AA28,0)</f>
        <v/>
      </c>
      <c r="AC28" s="17">
        <f>AB28*H28</f>
        <v/>
      </c>
    </row>
    <row r="29" ht="18" customHeight="1">
      <c r="A29" s="32" t="inlineStr">
        <is>
          <t xml:space="preserve">  ▸  BOTTOMS</t>
        </is>
      </c>
    </row>
    <row r="30" ht="46" customHeight="1">
      <c r="A30" s="10" t="inlineStr">
        <is>
          <t>↑ photo</t>
        </is>
      </c>
      <c r="B30" s="11" t="inlineStr">
        <is>
          <t>NM-26S-BOT-2-SI</t>
        </is>
      </c>
      <c r="C30" s="12" t="inlineStr">
        <is>
          <t>Signature Jogger Pants</t>
        </is>
      </c>
      <c r="D30" s="33" t="inlineStr">
        <is>
          <t>BOT</t>
        </is>
      </c>
      <c r="E30" s="14" t="inlineStr">
        <is>
          <t>2-Color</t>
        </is>
      </c>
      <c r="F30" s="15" t="inlineStr">
        <is>
          <t>—</t>
        </is>
      </c>
      <c r="G30" s="16" t="inlineStr">
        <is>
          <t>Ribbed jogger pants, comes in 2-color set.</t>
        </is>
      </c>
      <c r="H30" s="17" t="n">
        <v>19</v>
      </c>
      <c r="I30" s="18" t="n">
        <v>38</v>
      </c>
      <c r="J30" s="19" t="n">
        <v>68</v>
      </c>
      <c r="K30" s="20" t="inlineStr">
        <is>
          <t>✓ In Stock</t>
        </is>
      </c>
      <c r="L30" s="21" t="inlineStr">
        <is>
          <t>✕</t>
        </is>
      </c>
      <c r="M30" s="21" t="inlineStr">
        <is>
          <t>✕</t>
        </is>
      </c>
      <c r="N30" s="21" t="inlineStr">
        <is>
          <t>✕</t>
        </is>
      </c>
      <c r="O30" s="21" t="inlineStr">
        <is>
          <t>✕</t>
        </is>
      </c>
      <c r="P30" s="21" t="inlineStr">
        <is>
          <t>✕</t>
        </is>
      </c>
      <c r="Q30" s="21" t="inlineStr">
        <is>
          <t>✕</t>
        </is>
      </c>
      <c r="R30" s="31" t="inlineStr">
        <is>
          <t>0</t>
        </is>
      </c>
      <c r="S30" s="31" t="n"/>
      <c r="T30" s="22" t="n">
        <v>32</v>
      </c>
      <c r="U30" s="23" t="n"/>
      <c r="V30" s="22" t="n">
        <v>6</v>
      </c>
      <c r="W30" s="23" t="n"/>
      <c r="X30" s="31" t="inlineStr">
        <is>
          <t>0</t>
        </is>
      </c>
      <c r="Y30" s="31" t="n"/>
      <c r="Z30" s="22" t="n">
        <v>30</v>
      </c>
      <c r="AA30" s="23" t="n"/>
      <c r="AB30" s="24">
        <f>IFERROR(U30,0)+IFERROR(W30,0)+IFERROR(AA30,0)</f>
        <v/>
      </c>
      <c r="AC30" s="17">
        <f>AB30*H30</f>
        <v/>
      </c>
    </row>
    <row r="31" ht="18" customHeight="1">
      <c r="A31" s="34" t="inlineStr">
        <is>
          <t xml:space="preserve">  ▸  OUTERWEAR</t>
        </is>
      </c>
    </row>
    <row r="32" ht="46" customHeight="1">
      <c r="A32" s="10" t="inlineStr">
        <is>
          <t>↑ photo</t>
        </is>
      </c>
      <c r="B32" s="11" t="inlineStr">
        <is>
          <t>NM-26S-OTR-SOHO</t>
        </is>
      </c>
      <c r="C32" s="12" t="inlineStr">
        <is>
          <t>Hoodie Jumper</t>
        </is>
      </c>
      <c r="D32" s="35" t="inlineStr">
        <is>
          <t>OTR</t>
        </is>
      </c>
      <c r="E32" s="14" t="inlineStr">
        <is>
          <t>Soft Grey</t>
        </is>
      </c>
      <c r="F32" s="15" t="inlineStr">
        <is>
          <t>—</t>
        </is>
      </c>
      <c r="G32" s="16" t="inlineStr">
        <is>
          <t>Cozy cotton zip-up hoodie with kangaroo pocket.</t>
        </is>
      </c>
      <c r="H32" s="17" t="n">
        <v>37</v>
      </c>
      <c r="I32" s="18" t="n">
        <v>67</v>
      </c>
      <c r="J32" s="19" t="n">
        <v>25</v>
      </c>
      <c r="K32" s="20" t="inlineStr">
        <is>
          <t>✓ In Stock</t>
        </is>
      </c>
      <c r="L32" s="21" t="inlineStr">
        <is>
          <t>✕</t>
        </is>
      </c>
      <c r="M32" s="21" t="inlineStr">
        <is>
          <t>✕</t>
        </is>
      </c>
      <c r="N32" s="21" t="inlineStr">
        <is>
          <t>✕</t>
        </is>
      </c>
      <c r="O32" s="21" t="inlineStr">
        <is>
          <t>✕</t>
        </is>
      </c>
      <c r="P32" s="21" t="inlineStr">
        <is>
          <t>✕</t>
        </is>
      </c>
      <c r="Q32" s="21" t="inlineStr">
        <is>
          <t>✕</t>
        </is>
      </c>
      <c r="R32" s="22" t="n">
        <v>5</v>
      </c>
      <c r="S32" s="23" t="n"/>
      <c r="T32" s="22" t="n">
        <v>2</v>
      </c>
      <c r="U32" s="23" t="n"/>
      <c r="V32" s="22" t="n">
        <v>13</v>
      </c>
      <c r="W32" s="23" t="n"/>
      <c r="X32" s="31" t="inlineStr">
        <is>
          <t>0</t>
        </is>
      </c>
      <c r="Y32" s="31" t="n"/>
      <c r="Z32" s="22" t="n">
        <v>5</v>
      </c>
      <c r="AA32" s="23" t="n"/>
      <c r="AB32" s="24">
        <f>IFERROR(S32,0)+IFERROR(U32,0)+IFERROR(W32,0)+IFERROR(AA32,0)</f>
        <v/>
      </c>
      <c r="AC32" s="17">
        <f>AB32*H32</f>
        <v/>
      </c>
    </row>
    <row r="33" ht="18" customHeight="1">
      <c r="A33" s="36" t="inlineStr">
        <is>
          <t xml:space="preserve">  ▸  ACCESSORIES</t>
        </is>
      </c>
    </row>
    <row r="34" ht="46" customHeight="1">
      <c r="A34" s="10" t="inlineStr">
        <is>
          <t>↑ photo</t>
        </is>
      </c>
      <c r="B34" s="11" t="inlineStr">
        <is>
          <t>NM-26S-ACC-LABA</t>
        </is>
      </c>
      <c r="C34" s="12" t="inlineStr">
        <is>
          <t>Ball Cap</t>
        </is>
      </c>
      <c r="D34" s="37" t="inlineStr">
        <is>
          <t>ACC</t>
        </is>
      </c>
      <c r="E34" s="14" t="inlineStr">
        <is>
          <t>Lavender</t>
        </is>
      </c>
      <c r="F34" s="15" t="inlineStr">
        <is>
          <t>—</t>
        </is>
      </c>
      <c r="G34" s="16" t="inlineStr">
        <is>
          <t>Relaxed fit ball cap with numo branding.</t>
        </is>
      </c>
      <c r="H34" s="17" t="n">
        <v>27</v>
      </c>
      <c r="I34" s="18" t="n">
        <v>44</v>
      </c>
      <c r="J34" s="19" t="n">
        <v>22</v>
      </c>
      <c r="K34" s="20" t="inlineStr">
        <is>
          <t>✓ In Stock</t>
        </is>
      </c>
      <c r="L34" s="22" t="n">
        <v>22</v>
      </c>
      <c r="M34" s="23" t="n"/>
      <c r="N34" s="21" t="inlineStr">
        <is>
          <t>✕</t>
        </is>
      </c>
      <c r="O34" s="21" t="inlineStr">
        <is>
          <t>✕</t>
        </is>
      </c>
      <c r="P34" s="21" t="inlineStr">
        <is>
          <t>✕</t>
        </is>
      </c>
      <c r="Q34" s="21" t="inlineStr">
        <is>
          <t>✕</t>
        </is>
      </c>
      <c r="R34" s="21" t="inlineStr">
        <is>
          <t>✕</t>
        </is>
      </c>
      <c r="S34" s="21" t="inlineStr">
        <is>
          <t>✕</t>
        </is>
      </c>
      <c r="T34" s="21" t="inlineStr">
        <is>
          <t>✕</t>
        </is>
      </c>
      <c r="U34" s="21" t="inlineStr">
        <is>
          <t>✕</t>
        </is>
      </c>
      <c r="V34" s="21" t="inlineStr">
        <is>
          <t>✕</t>
        </is>
      </c>
      <c r="W34" s="21" t="inlineStr">
        <is>
          <t>✕</t>
        </is>
      </c>
      <c r="X34" s="21" t="inlineStr">
        <is>
          <t>✕</t>
        </is>
      </c>
      <c r="Y34" s="21" t="inlineStr">
        <is>
          <t>✕</t>
        </is>
      </c>
      <c r="Z34" s="21" t="inlineStr">
        <is>
          <t>✕</t>
        </is>
      </c>
      <c r="AA34" s="21" t="inlineStr">
        <is>
          <t>✕</t>
        </is>
      </c>
      <c r="AB34" s="24">
        <f>IFERROR(M34,0)</f>
        <v/>
      </c>
      <c r="AC34" s="17">
        <f>AB34*H34</f>
        <v/>
      </c>
    </row>
    <row r="35" ht="46" customHeight="1">
      <c r="A35" s="10" t="inlineStr">
        <is>
          <t>↑ photo</t>
        </is>
      </c>
      <c r="B35" s="25" t="inlineStr">
        <is>
          <t>NM-26S-ACC-LEBA</t>
        </is>
      </c>
      <c r="C35" s="26" t="inlineStr">
        <is>
          <t>Ball Cap</t>
        </is>
      </c>
      <c r="D35" s="37" t="inlineStr">
        <is>
          <t>ACC</t>
        </is>
      </c>
      <c r="E35" s="27" t="inlineStr">
        <is>
          <t>Lemon Cream</t>
        </is>
      </c>
      <c r="F35" s="28" t="inlineStr">
        <is>
          <t>—</t>
        </is>
      </c>
      <c r="G35" s="29" t="inlineStr">
        <is>
          <t>Relaxed fit ball cap with numo branding.</t>
        </is>
      </c>
      <c r="H35" s="17" t="n">
        <v>27</v>
      </c>
      <c r="I35" s="30" t="n">
        <v>44</v>
      </c>
      <c r="J35" s="19" t="n">
        <v>24</v>
      </c>
      <c r="K35" s="20" t="inlineStr">
        <is>
          <t>✓ In Stock</t>
        </is>
      </c>
      <c r="L35" s="22" t="n">
        <v>24</v>
      </c>
      <c r="M35" s="23" t="n"/>
      <c r="N35" s="21" t="inlineStr">
        <is>
          <t>✕</t>
        </is>
      </c>
      <c r="O35" s="21" t="inlineStr">
        <is>
          <t>✕</t>
        </is>
      </c>
      <c r="P35" s="21" t="inlineStr">
        <is>
          <t>✕</t>
        </is>
      </c>
      <c r="Q35" s="21" t="inlineStr">
        <is>
          <t>✕</t>
        </is>
      </c>
      <c r="R35" s="21" t="inlineStr">
        <is>
          <t>✕</t>
        </is>
      </c>
      <c r="S35" s="21" t="inlineStr">
        <is>
          <t>✕</t>
        </is>
      </c>
      <c r="T35" s="21" t="inlineStr">
        <is>
          <t>✕</t>
        </is>
      </c>
      <c r="U35" s="21" t="inlineStr">
        <is>
          <t>✕</t>
        </is>
      </c>
      <c r="V35" s="21" t="inlineStr">
        <is>
          <t>✕</t>
        </is>
      </c>
      <c r="W35" s="21" t="inlineStr">
        <is>
          <t>✕</t>
        </is>
      </c>
      <c r="X35" s="21" t="inlineStr">
        <is>
          <t>✕</t>
        </is>
      </c>
      <c r="Y35" s="21" t="inlineStr">
        <is>
          <t>✕</t>
        </is>
      </c>
      <c r="Z35" s="21" t="inlineStr">
        <is>
          <t>✕</t>
        </is>
      </c>
      <c r="AA35" s="21" t="inlineStr">
        <is>
          <t>✕</t>
        </is>
      </c>
      <c r="AB35" s="24">
        <f>IFERROR(M35,0)</f>
        <v/>
      </c>
      <c r="AC35" s="17">
        <f>AB35*H35</f>
        <v/>
      </c>
    </row>
    <row r="36" ht="46" customHeight="1">
      <c r="A36" s="10" t="inlineStr">
        <is>
          <t>↑ photo</t>
        </is>
      </c>
      <c r="B36" s="11" t="inlineStr">
        <is>
          <t>NM-26S-ACC-BAST</t>
        </is>
      </c>
      <c r="C36" s="12" t="inlineStr">
        <is>
          <t>Stripe Bonnet</t>
        </is>
      </c>
      <c r="D36" s="37" t="inlineStr">
        <is>
          <t>ACC</t>
        </is>
      </c>
      <c r="E36" s="14" t="inlineStr">
        <is>
          <t>Baby Blue</t>
        </is>
      </c>
      <c r="F36" s="15" t="inlineStr">
        <is>
          <t>—</t>
        </is>
      </c>
      <c r="G36" s="16" t="inlineStr">
        <is>
          <t>Soft stripe bonnet with ear coverage.</t>
        </is>
      </c>
      <c r="H36" s="17" t="n">
        <v>11</v>
      </c>
      <c r="I36" s="18" t="n">
        <v>28</v>
      </c>
      <c r="J36" s="19" t="n">
        <v>38</v>
      </c>
      <c r="K36" s="20" t="inlineStr">
        <is>
          <t>✓ In Stock</t>
        </is>
      </c>
      <c r="L36" s="22" t="n">
        <v>38</v>
      </c>
      <c r="M36" s="23" t="n"/>
      <c r="N36" s="21" t="inlineStr">
        <is>
          <t>✕</t>
        </is>
      </c>
      <c r="O36" s="21" t="inlineStr">
        <is>
          <t>✕</t>
        </is>
      </c>
      <c r="P36" s="21" t="inlineStr">
        <is>
          <t>✕</t>
        </is>
      </c>
      <c r="Q36" s="21" t="inlineStr">
        <is>
          <t>✕</t>
        </is>
      </c>
      <c r="R36" s="21" t="inlineStr">
        <is>
          <t>✕</t>
        </is>
      </c>
      <c r="S36" s="21" t="inlineStr">
        <is>
          <t>✕</t>
        </is>
      </c>
      <c r="T36" s="21" t="inlineStr">
        <is>
          <t>✕</t>
        </is>
      </c>
      <c r="U36" s="21" t="inlineStr">
        <is>
          <t>✕</t>
        </is>
      </c>
      <c r="V36" s="21" t="inlineStr">
        <is>
          <t>✕</t>
        </is>
      </c>
      <c r="W36" s="21" t="inlineStr">
        <is>
          <t>✕</t>
        </is>
      </c>
      <c r="X36" s="21" t="inlineStr">
        <is>
          <t>✕</t>
        </is>
      </c>
      <c r="Y36" s="21" t="inlineStr">
        <is>
          <t>✕</t>
        </is>
      </c>
      <c r="Z36" s="21" t="inlineStr">
        <is>
          <t>✕</t>
        </is>
      </c>
      <c r="AA36" s="21" t="inlineStr">
        <is>
          <t>✕</t>
        </is>
      </c>
      <c r="AB36" s="24">
        <f>IFERROR(M36,0)</f>
        <v/>
      </c>
      <c r="AC36" s="17">
        <f>AB36*H36</f>
        <v/>
      </c>
    </row>
    <row r="37" ht="46" customHeight="1">
      <c r="A37" s="10" t="inlineStr">
        <is>
          <t>↑ photo</t>
        </is>
      </c>
      <c r="B37" s="25" t="inlineStr">
        <is>
          <t>NM-26S-ACC-BAST</t>
        </is>
      </c>
      <c r="C37" s="26" t="inlineStr">
        <is>
          <t>Stripe Bonnet</t>
        </is>
      </c>
      <c r="D37" s="37" t="inlineStr">
        <is>
          <t>ACC</t>
        </is>
      </c>
      <c r="E37" s="27" t="inlineStr">
        <is>
          <t>Baby Pink</t>
        </is>
      </c>
      <c r="F37" s="28" t="inlineStr">
        <is>
          <t>—</t>
        </is>
      </c>
      <c r="G37" s="29" t="inlineStr">
        <is>
          <t>Soft stripe bonnet with ear coverage.</t>
        </is>
      </c>
      <c r="H37" s="17" t="n">
        <v>11</v>
      </c>
      <c r="I37" s="30" t="n">
        <v>28</v>
      </c>
      <c r="J37" s="19" t="n">
        <v>34</v>
      </c>
      <c r="K37" s="20" t="inlineStr">
        <is>
          <t>✓ In Stock</t>
        </is>
      </c>
      <c r="L37" s="22" t="n">
        <v>34</v>
      </c>
      <c r="M37" s="23" t="n"/>
      <c r="N37" s="21" t="inlineStr">
        <is>
          <t>✕</t>
        </is>
      </c>
      <c r="O37" s="21" t="inlineStr">
        <is>
          <t>✕</t>
        </is>
      </c>
      <c r="P37" s="21" t="inlineStr">
        <is>
          <t>✕</t>
        </is>
      </c>
      <c r="Q37" s="21" t="inlineStr">
        <is>
          <t>✕</t>
        </is>
      </c>
      <c r="R37" s="21" t="inlineStr">
        <is>
          <t>✕</t>
        </is>
      </c>
      <c r="S37" s="21" t="inlineStr">
        <is>
          <t>✕</t>
        </is>
      </c>
      <c r="T37" s="21" t="inlineStr">
        <is>
          <t>✕</t>
        </is>
      </c>
      <c r="U37" s="21" t="inlineStr">
        <is>
          <t>✕</t>
        </is>
      </c>
      <c r="V37" s="21" t="inlineStr">
        <is>
          <t>✕</t>
        </is>
      </c>
      <c r="W37" s="21" t="inlineStr">
        <is>
          <t>✕</t>
        </is>
      </c>
      <c r="X37" s="21" t="inlineStr">
        <is>
          <t>✕</t>
        </is>
      </c>
      <c r="Y37" s="21" t="inlineStr">
        <is>
          <t>✕</t>
        </is>
      </c>
      <c r="Z37" s="21" t="inlineStr">
        <is>
          <t>✕</t>
        </is>
      </c>
      <c r="AA37" s="21" t="inlineStr">
        <is>
          <t>✕</t>
        </is>
      </c>
      <c r="AB37" s="24">
        <f>IFERROR(M37,0)</f>
        <v/>
      </c>
      <c r="AC37" s="17">
        <f>AB37*H37</f>
        <v/>
      </c>
    </row>
    <row r="38" ht="28" customHeight="1">
      <c r="A38" s="38" t="inlineStr">
        <is>
          <t>ORDER TOTAL</t>
        </is>
      </c>
      <c r="AB38" s="39">
        <f>SUM(AB9:AB37)</f>
        <v/>
      </c>
      <c r="AC38" s="40">
        <f>SUM(AC9:AC37)</f>
        <v/>
      </c>
    </row>
    <row r="40" ht="16" customHeight="1">
      <c r="A40" s="41" t="inlineStr">
        <is>
          <t>GUIDE</t>
        </is>
      </c>
      <c r="B40" s="42" t="inlineStr">
        <is>
          <t>🟢 Green = Available stock (qty shown)</t>
        </is>
      </c>
      <c r="G40" s="43" t="inlineStr">
        <is>
          <t>🟡 Yellow = Enter your order qty</t>
        </is>
      </c>
      <c r="L40" s="44" t="inlineStr">
        <is>
          <t>Pre-Order = 0 stock, order-to-make</t>
        </is>
      </c>
    </row>
    <row r="41" ht="16" customHeight="1">
      <c r="A41" s="44" t="inlineStr">
        <is>
          <t>* Styles with no stock available: Re-order minimum 80 pcs | Production time: 2~4 weeks (subject to fabric availability)</t>
        </is>
      </c>
    </row>
    <row r="42" ht="16" customHeight="1">
      <c r="A42" s="45" t="inlineStr">
        <is>
          <t>* Stock quantities shown are as of date of issue. Actual available inventory may vary due to real-time orders.</t>
        </is>
      </c>
    </row>
    <row r="43" ht="16" customHeight="1">
      <c r="A43" s="45" t="inlineStr">
        <is>
          <t>★  Min. Opening Order: $1,200 wholesale   |   Re-order Min.: $800   |   MOQ: 10 pcs per style (sized) / 6 pcs per style (one size)   |   Size mix available   |   Payment: 50% deposit / 50% before shipment   |   Shipping: FOB Seoul</t>
        </is>
      </c>
    </row>
  </sheetData>
  <mergeCells count="40">
    <mergeCell ref="A5:D5"/>
    <mergeCell ref="L7:M7"/>
    <mergeCell ref="N7:O7"/>
    <mergeCell ref="A31:AC31"/>
    <mergeCell ref="A4:D4"/>
    <mergeCell ref="A9:AC9"/>
    <mergeCell ref="A7:A8"/>
    <mergeCell ref="G7:G8"/>
    <mergeCell ref="I7:I8"/>
    <mergeCell ref="X7:Y7"/>
    <mergeCell ref="Z7:AA7"/>
    <mergeCell ref="A1:AC1"/>
    <mergeCell ref="R7:S7"/>
    <mergeCell ref="D7:D8"/>
    <mergeCell ref="H7:H8"/>
    <mergeCell ref="J7:J8"/>
    <mergeCell ref="AB7:AB8"/>
    <mergeCell ref="A41:AC41"/>
    <mergeCell ref="P7:Q7"/>
    <mergeCell ref="K4:M4"/>
    <mergeCell ref="A38:AA38"/>
    <mergeCell ref="C7:C8"/>
    <mergeCell ref="E5:AC5"/>
    <mergeCell ref="E7:E8"/>
    <mergeCell ref="K7:K8"/>
    <mergeCell ref="A2:AC2"/>
    <mergeCell ref="B40:F40"/>
    <mergeCell ref="A42:AC42"/>
    <mergeCell ref="A33:AC33"/>
    <mergeCell ref="V7:W7"/>
    <mergeCell ref="L40:P40"/>
    <mergeCell ref="T7:U7"/>
    <mergeCell ref="H4:J4"/>
    <mergeCell ref="B7:B8"/>
    <mergeCell ref="E4:G4"/>
    <mergeCell ref="A29:AC29"/>
    <mergeCell ref="F7:F8"/>
    <mergeCell ref="AC7:AC8"/>
    <mergeCell ref="A43:AC43"/>
    <mergeCell ref="G40:K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6" customWidth="1" min="4" max="4"/>
    <col width="10" customWidth="1" min="5" max="5"/>
    <col width="7" customWidth="1" min="6" max="6"/>
    <col width="24" customWidth="1" min="7" max="7"/>
    <col width="10" customWidth="1" min="8" max="8"/>
    <col width="9" customWidth="1" min="9" max="9"/>
    <col width="8" customWidth="1" min="10" max="10"/>
    <col width="9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8" customWidth="1" min="26" max="26"/>
    <col width="14" customWidth="1" min="27" max="27"/>
  </cols>
  <sheetData>
    <row r="1" ht="44" customHeight="1">
      <c r="A1" s="1" t="inlineStr">
        <is>
          <t>numo  ·  2026 S/S  ·  Wholesale Line Sheet &amp; Order Form</t>
        </is>
      </c>
    </row>
    <row r="2" ht="18" customHeight="1">
      <c r="A2" s="2" t="inlineStr">
        <is>
          <t>Brand: NUMO  ·  Season: 2026 S/S  ·  FOB Seoul  ·  USD  ·  April 22, 2026</t>
        </is>
      </c>
    </row>
    <row r="3" ht="6" customHeight="1"/>
    <row r="4" ht="22" customHeight="1">
      <c r="A4" s="3" t="inlineStr">
        <is>
          <t>Store / Buyer Name:</t>
        </is>
      </c>
      <c r="E4" s="3" t="inlineStr">
        <is>
          <t>Contact:</t>
        </is>
      </c>
      <c r="H4" s="3" t="inlineStr">
        <is>
          <t>Email:</t>
        </is>
      </c>
      <c r="K4" s="3" t="inlineStr">
        <is>
          <t>Order Date:</t>
        </is>
      </c>
    </row>
    <row r="5" ht="22" customHeight="1">
      <c r="A5" s="3" t="inlineStr">
        <is>
          <t>Ship To:</t>
        </is>
      </c>
      <c r="E5" s="4" t="inlineStr"/>
    </row>
    <row r="6" ht="6" customHeight="1"/>
    <row r="7" ht="20" customHeight="1">
      <c r="A7" s="5" t="inlineStr">
        <is>
          <t>Photo</t>
        </is>
      </c>
      <c r="B7" s="5" t="inlineStr">
        <is>
          <t>Item Code</t>
        </is>
      </c>
      <c r="C7" s="5" t="inlineStr">
        <is>
          <t>Product Name</t>
        </is>
      </c>
      <c r="D7" s="5" t="inlineStr">
        <is>
          <t>Cat.</t>
        </is>
      </c>
      <c r="E7" s="5" t="inlineStr">
        <is>
          <t>Color</t>
        </is>
      </c>
      <c r="F7" s="5" t="inlineStr">
        <is>
          <t>Detail</t>
        </is>
      </c>
      <c r="G7" s="5" t="inlineStr">
        <is>
          <t>Description</t>
        </is>
      </c>
      <c r="H7" s="5" t="inlineStr">
        <is>
          <t>Wholesale
(USD)</t>
        </is>
      </c>
      <c r="I7" s="5" t="inlineStr">
        <is>
          <t>MSRP
(USD)</t>
        </is>
      </c>
      <c r="J7" s="5" t="inlineStr">
        <is>
          <t>Total
Stock</t>
        </is>
      </c>
      <c r="K7" s="5" t="inlineStr">
        <is>
          <t>Stock
Status</t>
        </is>
      </c>
      <c r="L7" s="6" t="inlineStr">
        <is>
          <t>0-12m</t>
        </is>
      </c>
      <c r="N7" s="6" t="inlineStr">
        <is>
          <t>12-24m</t>
        </is>
      </c>
      <c r="P7" s="6" t="inlineStr">
        <is>
          <t>80</t>
        </is>
      </c>
      <c r="R7" s="6" t="inlineStr">
        <is>
          <t>90</t>
        </is>
      </c>
      <c r="T7" s="6" t="inlineStr">
        <is>
          <t>100</t>
        </is>
      </c>
      <c r="V7" s="6" t="inlineStr">
        <is>
          <t>110</t>
        </is>
      </c>
      <c r="X7" s="6" t="inlineStr">
        <is>
          <t>120</t>
        </is>
      </c>
      <c r="Z7" s="5" t="inlineStr">
        <is>
          <t>Total
Qty</t>
        </is>
      </c>
      <c r="AA7" s="5" t="inlineStr">
        <is>
          <t>Total
Wholesale</t>
        </is>
      </c>
    </row>
    <row r="8" ht="16" customHeight="1">
      <c r="L8" s="7" t="inlineStr">
        <is>
          <t>Stock</t>
        </is>
      </c>
      <c r="M8" s="8" t="inlineStr">
        <is>
          <t>Order</t>
        </is>
      </c>
      <c r="N8" s="7" t="inlineStr">
        <is>
          <t>Stock</t>
        </is>
      </c>
      <c r="O8" s="8" t="inlineStr">
        <is>
          <t>Order</t>
        </is>
      </c>
      <c r="P8" s="7" t="inlineStr">
        <is>
          <t>Stock</t>
        </is>
      </c>
      <c r="Q8" s="8" t="inlineStr">
        <is>
          <t>Order</t>
        </is>
      </c>
      <c r="R8" s="7" t="inlineStr">
        <is>
          <t>Stock</t>
        </is>
      </c>
      <c r="S8" s="8" t="inlineStr">
        <is>
          <t>Order</t>
        </is>
      </c>
      <c r="T8" s="7" t="inlineStr">
        <is>
          <t>Stock</t>
        </is>
      </c>
      <c r="U8" s="8" t="inlineStr">
        <is>
          <t>Order</t>
        </is>
      </c>
      <c r="V8" s="7" t="inlineStr">
        <is>
          <t>Stock</t>
        </is>
      </c>
      <c r="W8" s="8" t="inlineStr">
        <is>
          <t>Order</t>
        </is>
      </c>
      <c r="X8" s="7" t="inlineStr">
        <is>
          <t>Stock</t>
        </is>
      </c>
      <c r="Y8" s="8" t="inlineStr">
        <is>
          <t>Order</t>
        </is>
      </c>
    </row>
    <row r="9" ht="18" customHeight="1">
      <c r="A9" s="9" t="inlineStr">
        <is>
          <t xml:space="preserve">  ▸  SETS</t>
        </is>
      </c>
    </row>
    <row r="10" ht="46" customHeight="1">
      <c r="A10" s="10" t="inlineStr">
        <is>
          <t>↑ photo</t>
        </is>
      </c>
      <c r="B10" s="11" t="inlineStr">
        <is>
          <t>NM-26S-SET-BACA</t>
        </is>
      </c>
      <c r="C10" s="12" t="inlineStr">
        <is>
          <t>Cardigan &amp; Soft Jogger Set</t>
        </is>
      </c>
      <c r="D10" s="13" t="inlineStr">
        <is>
          <t>SET</t>
        </is>
      </c>
      <c r="E10" s="14" t="inlineStr">
        <is>
          <t>Baby Blue</t>
        </is>
      </c>
      <c r="F10" s="15" t="inlineStr">
        <is>
          <t>—</t>
        </is>
      </c>
      <c r="G10" s="16" t="inlineStr">
        <is>
          <t>Stripe cardigan and soft jogger pants set.</t>
        </is>
      </c>
      <c r="H10" s="17" t="n">
        <v>32</v>
      </c>
      <c r="I10" s="18" t="n">
        <v>64</v>
      </c>
      <c r="J10" s="19" t="n">
        <v>85</v>
      </c>
      <c r="K10" s="20" t="inlineStr">
        <is>
          <t>✓ In Stock</t>
        </is>
      </c>
      <c r="L10" s="21" t="inlineStr">
        <is>
          <t>✕</t>
        </is>
      </c>
      <c r="M10" s="21" t="inlineStr">
        <is>
          <t>✕</t>
        </is>
      </c>
      <c r="N10" s="21" t="inlineStr">
        <is>
          <t>✕</t>
        </is>
      </c>
      <c r="O10" s="21" t="inlineStr">
        <is>
          <t>✕</t>
        </is>
      </c>
      <c r="P10" s="22" t="n">
        <v>13</v>
      </c>
      <c r="Q10" s="23" t="n"/>
      <c r="R10" s="22" t="n">
        <v>22</v>
      </c>
      <c r="S10" s="23" t="n"/>
      <c r="T10" s="22" t="n">
        <v>50</v>
      </c>
      <c r="U10" s="23" t="n"/>
      <c r="V10" s="21" t="inlineStr">
        <is>
          <t>✕</t>
        </is>
      </c>
      <c r="W10" s="21" t="inlineStr">
        <is>
          <t>✕</t>
        </is>
      </c>
      <c r="X10" s="21" t="inlineStr">
        <is>
          <t>✕</t>
        </is>
      </c>
      <c r="Y10" s="21" t="inlineStr">
        <is>
          <t>✕</t>
        </is>
      </c>
      <c r="Z10" s="24">
        <f>IFERROR(Q10,0)+IFERROR(S10,0)+IFERROR(U10,0)</f>
        <v/>
      </c>
      <c r="AA10" s="17">
        <f>Z10*H10</f>
        <v/>
      </c>
    </row>
    <row r="11" ht="46" customHeight="1">
      <c r="A11" s="10" t="inlineStr">
        <is>
          <t>↑ photo</t>
        </is>
      </c>
      <c r="B11" s="25" t="inlineStr">
        <is>
          <t>NM-26S-SET-BACA</t>
        </is>
      </c>
      <c r="C11" s="26" t="inlineStr">
        <is>
          <t>Cardigan &amp; Soft Jogger Set</t>
        </is>
      </c>
      <c r="D11" s="13" t="inlineStr">
        <is>
          <t>SET</t>
        </is>
      </c>
      <c r="E11" s="27" t="inlineStr">
        <is>
          <t>Baby Pink</t>
        </is>
      </c>
      <c r="F11" s="28" t="inlineStr">
        <is>
          <t>—</t>
        </is>
      </c>
      <c r="G11" s="29" t="inlineStr">
        <is>
          <t>Stripe cardigan and soft jogger pants set.</t>
        </is>
      </c>
      <c r="H11" s="17" t="n">
        <v>32</v>
      </c>
      <c r="I11" s="30" t="n">
        <v>64</v>
      </c>
      <c r="J11" s="19" t="n">
        <v>65</v>
      </c>
      <c r="K11" s="20" t="inlineStr">
        <is>
          <t>✓ In Stock</t>
        </is>
      </c>
      <c r="L11" s="21" t="inlineStr">
        <is>
          <t>✕</t>
        </is>
      </c>
      <c r="M11" s="21" t="inlineStr">
        <is>
          <t>✕</t>
        </is>
      </c>
      <c r="N11" s="21" t="inlineStr">
        <is>
          <t>✕</t>
        </is>
      </c>
      <c r="O11" s="21" t="inlineStr">
        <is>
          <t>✕</t>
        </is>
      </c>
      <c r="P11" s="22" t="n">
        <v>12</v>
      </c>
      <c r="Q11" s="23" t="n"/>
      <c r="R11" s="22" t="n">
        <v>21</v>
      </c>
      <c r="S11" s="23" t="n"/>
      <c r="T11" s="22" t="n">
        <v>32</v>
      </c>
      <c r="U11" s="23" t="n"/>
      <c r="V11" s="21" t="inlineStr">
        <is>
          <t>✕</t>
        </is>
      </c>
      <c r="W11" s="21" t="inlineStr">
        <is>
          <t>✕</t>
        </is>
      </c>
      <c r="X11" s="21" t="inlineStr">
        <is>
          <t>✕</t>
        </is>
      </c>
      <c r="Y11" s="21" t="inlineStr">
        <is>
          <t>✕</t>
        </is>
      </c>
      <c r="Z11" s="24">
        <f>IFERROR(Q11,0)+IFERROR(S11,0)+IFERROR(U11,0)</f>
        <v/>
      </c>
      <c r="AA11" s="17">
        <f>Z11*H11</f>
        <v/>
      </c>
    </row>
    <row r="12" ht="46" customHeight="1">
      <c r="A12" s="10" t="inlineStr">
        <is>
          <t>↑ photo</t>
        </is>
      </c>
      <c r="B12" s="11" t="inlineStr">
        <is>
          <t>NM-26S-SET-LICH</t>
        </is>
      </c>
      <c r="C12" s="12" t="inlineStr">
        <is>
          <t>Cherie Flower Set</t>
        </is>
      </c>
      <c r="D12" s="13" t="inlineStr">
        <is>
          <t>SET</t>
        </is>
      </c>
      <c r="E12" s="14" t="inlineStr">
        <is>
          <t>Light Grey</t>
        </is>
      </c>
      <c r="F12" s="15" t="inlineStr">
        <is>
          <t>—</t>
        </is>
      </c>
      <c r="G12" s="16" t="inlineStr">
        <is>
          <t>Floral print matching set with delicate details.</t>
        </is>
      </c>
      <c r="H12" s="17" t="n">
        <v>29</v>
      </c>
      <c r="I12" s="18" t="n">
        <v>64</v>
      </c>
      <c r="J12" s="19" t="n">
        <v>36</v>
      </c>
      <c r="K12" s="20" t="inlineStr">
        <is>
          <t>✓ In Stock</t>
        </is>
      </c>
      <c r="L12" s="21" t="inlineStr">
        <is>
          <t>✕</t>
        </is>
      </c>
      <c r="M12" s="21" t="inlineStr">
        <is>
          <t>✕</t>
        </is>
      </c>
      <c r="N12" s="21" t="inlineStr">
        <is>
          <t>✕</t>
        </is>
      </c>
      <c r="O12" s="21" t="inlineStr">
        <is>
          <t>✕</t>
        </is>
      </c>
      <c r="P12" s="22" t="n">
        <v>7</v>
      </c>
      <c r="Q12" s="23" t="n"/>
      <c r="R12" s="22" t="n">
        <v>3</v>
      </c>
      <c r="S12" s="23" t="n"/>
      <c r="T12" s="22" t="n">
        <v>11</v>
      </c>
      <c r="U12" s="23" t="n"/>
      <c r="V12" s="22" t="n">
        <v>5</v>
      </c>
      <c r="W12" s="23" t="n"/>
      <c r="X12" s="22" t="n">
        <v>10</v>
      </c>
      <c r="Y12" s="23" t="n"/>
      <c r="Z12" s="24">
        <f>IFERROR(Q12,0)+IFERROR(S12,0)+IFERROR(U12,0)+IFERROR(W12,0)+IFERROR(Y12,0)</f>
        <v/>
      </c>
      <c r="AA12" s="17">
        <f>Z12*H12</f>
        <v/>
      </c>
    </row>
    <row r="13" ht="46" customHeight="1">
      <c r="A13" s="10" t="inlineStr">
        <is>
          <t>↑ photo</t>
        </is>
      </c>
      <c r="B13" s="25" t="inlineStr">
        <is>
          <t>NM-26S-SET-BLDA</t>
        </is>
      </c>
      <c r="C13" s="26" t="inlineStr">
        <is>
          <t>Daily Modal Set</t>
        </is>
      </c>
      <c r="D13" s="13" t="inlineStr">
        <is>
          <t>SET</t>
        </is>
      </c>
      <c r="E13" s="27" t="inlineStr">
        <is>
          <t>Black</t>
        </is>
      </c>
      <c r="F13" s="28" t="inlineStr">
        <is>
          <t>—</t>
        </is>
      </c>
      <c r="G13" s="29" t="inlineStr">
        <is>
          <t>Soft modal matching set with 3/4 sleeve and shoulder slit detail.</t>
        </is>
      </c>
      <c r="H13" s="17" t="n">
        <v>27</v>
      </c>
      <c r="I13" s="30" t="n">
        <v>60</v>
      </c>
      <c r="J13" s="19" t="n">
        <v>6</v>
      </c>
      <c r="K13" s="20" t="inlineStr">
        <is>
          <t>✓ In Stock</t>
        </is>
      </c>
      <c r="L13" s="21" t="inlineStr">
        <is>
          <t>✕</t>
        </is>
      </c>
      <c r="M13" s="21" t="inlineStr">
        <is>
          <t>✕</t>
        </is>
      </c>
      <c r="N13" s="21" t="inlineStr">
        <is>
          <t>✕</t>
        </is>
      </c>
      <c r="O13" s="21" t="inlineStr">
        <is>
          <t>✕</t>
        </is>
      </c>
      <c r="P13" s="22" t="n">
        <v>4</v>
      </c>
      <c r="Q13" s="23" t="n"/>
      <c r="R13" s="22" t="n">
        <v>2</v>
      </c>
      <c r="S13" s="23" t="n"/>
      <c r="T13" s="31" t="inlineStr">
        <is>
          <t>0</t>
        </is>
      </c>
      <c r="U13" s="31" t="n"/>
      <c r="V13" s="21" t="inlineStr">
        <is>
          <t>✕</t>
        </is>
      </c>
      <c r="W13" s="21" t="inlineStr">
        <is>
          <t>✕</t>
        </is>
      </c>
      <c r="X13" s="21" t="inlineStr">
        <is>
          <t>✕</t>
        </is>
      </c>
      <c r="Y13" s="21" t="inlineStr">
        <is>
          <t>✕</t>
        </is>
      </c>
      <c r="Z13" s="24">
        <f>IFERROR(Q13,0)+IFERROR(S13,0)</f>
        <v/>
      </c>
      <c r="AA13" s="17">
        <f>Z13*H13</f>
        <v/>
      </c>
    </row>
    <row r="14" ht="46" customHeight="1">
      <c r="A14" s="10" t="inlineStr">
        <is>
          <t>↑ photo</t>
        </is>
      </c>
      <c r="B14" s="11" t="inlineStr">
        <is>
          <t>NM-26S-SET-LEDA</t>
        </is>
      </c>
      <c r="C14" s="12" t="inlineStr">
        <is>
          <t>Daily Modal Set</t>
        </is>
      </c>
      <c r="D14" s="13" t="inlineStr">
        <is>
          <t>SET</t>
        </is>
      </c>
      <c r="E14" s="14" t="inlineStr">
        <is>
          <t>Lemon</t>
        </is>
      </c>
      <c r="F14" s="15" t="inlineStr">
        <is>
          <t>—</t>
        </is>
      </c>
      <c r="G14" s="16" t="inlineStr">
        <is>
          <t>Soft modal matching set with 3/4 sleeve and shoulder slit detail.</t>
        </is>
      </c>
      <c r="H14" s="17" t="n">
        <v>27</v>
      </c>
      <c r="I14" s="18" t="n">
        <v>60</v>
      </c>
      <c r="J14" s="19" t="n">
        <v>7</v>
      </c>
      <c r="K14" s="20" t="inlineStr">
        <is>
          <t>✓ In Stock</t>
        </is>
      </c>
      <c r="L14" s="21" t="inlineStr">
        <is>
          <t>✕</t>
        </is>
      </c>
      <c r="M14" s="21" t="inlineStr">
        <is>
          <t>✕</t>
        </is>
      </c>
      <c r="N14" s="21" t="inlineStr">
        <is>
          <t>✕</t>
        </is>
      </c>
      <c r="O14" s="21" t="inlineStr">
        <is>
          <t>✕</t>
        </is>
      </c>
      <c r="P14" s="31" t="inlineStr">
        <is>
          <t>0</t>
        </is>
      </c>
      <c r="Q14" s="31" t="n"/>
      <c r="R14" s="22" t="n">
        <v>7</v>
      </c>
      <c r="S14" s="23" t="n"/>
      <c r="T14" s="31" t="inlineStr">
        <is>
          <t>0</t>
        </is>
      </c>
      <c r="U14" s="31" t="n"/>
      <c r="V14" s="21" t="inlineStr">
        <is>
          <t>✕</t>
        </is>
      </c>
      <c r="W14" s="21" t="inlineStr">
        <is>
          <t>✕</t>
        </is>
      </c>
      <c r="X14" s="21" t="inlineStr">
        <is>
          <t>✕</t>
        </is>
      </c>
      <c r="Y14" s="21" t="inlineStr">
        <is>
          <t>✕</t>
        </is>
      </c>
      <c r="Z14" s="24">
        <f>IFERROR(S14,0)</f>
        <v/>
      </c>
      <c r="AA14" s="17">
        <f>Z14*H14</f>
        <v/>
      </c>
    </row>
    <row r="15" ht="46" customHeight="1">
      <c r="A15" s="10" t="inlineStr">
        <is>
          <t>↑ photo</t>
        </is>
      </c>
      <c r="B15" s="25" t="inlineStr">
        <is>
          <t>NM-26S-SET-PUDA</t>
        </is>
      </c>
      <c r="C15" s="26" t="inlineStr">
        <is>
          <t>Daily Modal Set</t>
        </is>
      </c>
      <c r="D15" s="13" t="inlineStr">
        <is>
          <t>SET</t>
        </is>
      </c>
      <c r="E15" s="27" t="inlineStr">
        <is>
          <t>Purple</t>
        </is>
      </c>
      <c r="F15" s="28" t="inlineStr">
        <is>
          <t>—</t>
        </is>
      </c>
      <c r="G15" s="29" t="inlineStr">
        <is>
          <t>Soft modal matching set with 3/4 sleeve and shoulder slit detail.</t>
        </is>
      </c>
      <c r="H15" s="17" t="n">
        <v>27</v>
      </c>
      <c r="I15" s="30" t="n">
        <v>60</v>
      </c>
      <c r="J15" s="19" t="n">
        <v>22</v>
      </c>
      <c r="K15" s="20" t="inlineStr">
        <is>
          <t>✓ In Stock</t>
        </is>
      </c>
      <c r="L15" s="21" t="inlineStr">
        <is>
          <t>✕</t>
        </is>
      </c>
      <c r="M15" s="21" t="inlineStr">
        <is>
          <t>✕</t>
        </is>
      </c>
      <c r="N15" s="21" t="inlineStr">
        <is>
          <t>✕</t>
        </is>
      </c>
      <c r="O15" s="21" t="inlineStr">
        <is>
          <t>✕</t>
        </is>
      </c>
      <c r="P15" s="22" t="n">
        <v>1</v>
      </c>
      <c r="Q15" s="23" t="n"/>
      <c r="R15" s="22" t="n">
        <v>21</v>
      </c>
      <c r="S15" s="23" t="n"/>
      <c r="T15" s="31" t="inlineStr">
        <is>
          <t>0</t>
        </is>
      </c>
      <c r="U15" s="31" t="n"/>
      <c r="V15" s="21" t="inlineStr">
        <is>
          <t>✕</t>
        </is>
      </c>
      <c r="W15" s="21" t="inlineStr">
        <is>
          <t>✕</t>
        </is>
      </c>
      <c r="X15" s="21" t="inlineStr">
        <is>
          <t>✕</t>
        </is>
      </c>
      <c r="Y15" s="21" t="inlineStr">
        <is>
          <t>✕</t>
        </is>
      </c>
      <c r="Z15" s="24">
        <f>IFERROR(Q15,0)+IFERROR(S15,0)</f>
        <v/>
      </c>
      <c r="AA15" s="17">
        <f>Z15*H15</f>
        <v/>
      </c>
    </row>
    <row r="16" ht="46" customHeight="1">
      <c r="A16" s="10" t="inlineStr">
        <is>
          <t>↑ photo</t>
        </is>
      </c>
      <c r="B16" s="11" t="inlineStr">
        <is>
          <t>NM-26S-SET-BAEV</t>
        </is>
      </c>
      <c r="C16" s="12" t="inlineStr">
        <is>
          <t>Everyday Bebesuit</t>
        </is>
      </c>
      <c r="D16" s="13" t="inlineStr">
        <is>
          <t>SET</t>
        </is>
      </c>
      <c r="E16" s="14" t="inlineStr">
        <is>
          <t>Baby Blue</t>
        </is>
      </c>
      <c r="F16" s="15" t="inlineStr">
        <is>
          <t>—</t>
        </is>
      </c>
      <c r="G16" s="16" t="inlineStr">
        <is>
          <t>Everyday stripe bebesuit set, gentle on delicate skin.</t>
        </is>
      </c>
      <c r="H16" s="17" t="n">
        <v>21</v>
      </c>
      <c r="I16" s="18" t="n">
        <v>46</v>
      </c>
      <c r="J16" s="19" t="n">
        <v>24</v>
      </c>
      <c r="K16" s="20" t="inlineStr">
        <is>
          <t>✓ In Stock</t>
        </is>
      </c>
      <c r="L16" s="31" t="inlineStr">
        <is>
          <t>0</t>
        </is>
      </c>
      <c r="M16" s="31" t="n"/>
      <c r="N16" s="22" t="n">
        <v>24</v>
      </c>
      <c r="O16" s="23" t="n"/>
      <c r="P16" s="21" t="inlineStr">
        <is>
          <t>✕</t>
        </is>
      </c>
      <c r="Q16" s="21" t="inlineStr">
        <is>
          <t>✕</t>
        </is>
      </c>
      <c r="R16" s="21" t="inlineStr">
        <is>
          <t>✕</t>
        </is>
      </c>
      <c r="S16" s="21" t="inlineStr">
        <is>
          <t>✕</t>
        </is>
      </c>
      <c r="T16" s="21" t="inlineStr">
        <is>
          <t>✕</t>
        </is>
      </c>
      <c r="U16" s="21" t="inlineStr">
        <is>
          <t>✕</t>
        </is>
      </c>
      <c r="V16" s="21" t="inlineStr">
        <is>
          <t>✕</t>
        </is>
      </c>
      <c r="W16" s="21" t="inlineStr">
        <is>
          <t>✕</t>
        </is>
      </c>
      <c r="X16" s="21" t="inlineStr">
        <is>
          <t>✕</t>
        </is>
      </c>
      <c r="Y16" s="21" t="inlineStr">
        <is>
          <t>✕</t>
        </is>
      </c>
      <c r="Z16" s="24">
        <f>IFERROR(O16,0)</f>
        <v/>
      </c>
      <c r="AA16" s="17">
        <f>Z16*H16</f>
        <v/>
      </c>
    </row>
    <row r="17" ht="46" customHeight="1">
      <c r="A17" s="10" t="inlineStr">
        <is>
          <t>↑ photo</t>
        </is>
      </c>
      <c r="B17" s="25" t="inlineStr">
        <is>
          <t>NM-26S-SET-BAEV</t>
        </is>
      </c>
      <c r="C17" s="26" t="inlineStr">
        <is>
          <t>Everyday Bebesuit</t>
        </is>
      </c>
      <c r="D17" s="13" t="inlineStr">
        <is>
          <t>SET</t>
        </is>
      </c>
      <c r="E17" s="27" t="inlineStr">
        <is>
          <t>Baby Pink</t>
        </is>
      </c>
      <c r="F17" s="28" t="inlineStr">
        <is>
          <t>—</t>
        </is>
      </c>
      <c r="G17" s="29" t="inlineStr">
        <is>
          <t>Everyday stripe bebesuit set, gentle on delicate skin.</t>
        </is>
      </c>
      <c r="H17" s="17" t="n">
        <v>21</v>
      </c>
      <c r="I17" s="30" t="n">
        <v>46</v>
      </c>
      <c r="J17" s="19" t="n">
        <v>21</v>
      </c>
      <c r="K17" s="20" t="inlineStr">
        <is>
          <t>✓ In Stock</t>
        </is>
      </c>
      <c r="L17" s="31" t="inlineStr">
        <is>
          <t>0</t>
        </is>
      </c>
      <c r="M17" s="31" t="n"/>
      <c r="N17" s="22" t="n">
        <v>21</v>
      </c>
      <c r="O17" s="23" t="n"/>
      <c r="P17" s="21" t="inlineStr">
        <is>
          <t>✕</t>
        </is>
      </c>
      <c r="Q17" s="21" t="inlineStr">
        <is>
          <t>✕</t>
        </is>
      </c>
      <c r="R17" s="21" t="inlineStr">
        <is>
          <t>✕</t>
        </is>
      </c>
      <c r="S17" s="21" t="inlineStr">
        <is>
          <t>✕</t>
        </is>
      </c>
      <c r="T17" s="21" t="inlineStr">
        <is>
          <t>✕</t>
        </is>
      </c>
      <c r="U17" s="21" t="inlineStr">
        <is>
          <t>✕</t>
        </is>
      </c>
      <c r="V17" s="21" t="inlineStr">
        <is>
          <t>✕</t>
        </is>
      </c>
      <c r="W17" s="21" t="inlineStr">
        <is>
          <t>✕</t>
        </is>
      </c>
      <c r="X17" s="21" t="inlineStr">
        <is>
          <t>✕</t>
        </is>
      </c>
      <c r="Y17" s="21" t="inlineStr">
        <is>
          <t>✕</t>
        </is>
      </c>
      <c r="Z17" s="24">
        <f>IFERROR(O17,0)</f>
        <v/>
      </c>
      <c r="AA17" s="17">
        <f>Z17*H17</f>
        <v/>
      </c>
    </row>
    <row r="18" ht="46" customHeight="1">
      <c r="A18" s="10" t="inlineStr">
        <is>
          <t>↑ photo</t>
        </is>
      </c>
      <c r="B18" s="11" t="inlineStr">
        <is>
          <t>NM-26S-SET-AMLI</t>
        </is>
      </c>
      <c r="C18" s="12" t="inlineStr">
        <is>
          <t>Little Palette Set v2</t>
        </is>
      </c>
      <c r="D18" s="13" t="inlineStr">
        <is>
          <t>SET</t>
        </is>
      </c>
      <c r="E18" s="14" t="inlineStr">
        <is>
          <t>Amsterdam</t>
        </is>
      </c>
      <c r="F18" s="15" t="inlineStr">
        <is>
          <t>—</t>
        </is>
      </c>
      <c r="G18" s="16" t="inlineStr">
        <is>
          <t>Playful colorblock sweat set.</t>
        </is>
      </c>
      <c r="H18" s="17" t="n">
        <v>39</v>
      </c>
      <c r="I18" s="18" t="n">
        <v>86</v>
      </c>
      <c r="J18" s="19" t="n">
        <v>57</v>
      </c>
      <c r="K18" s="20" t="inlineStr">
        <is>
          <t>✓ In Stock</t>
        </is>
      </c>
      <c r="L18" s="21" t="inlineStr">
        <is>
          <t>✕</t>
        </is>
      </c>
      <c r="M18" s="21" t="inlineStr">
        <is>
          <t>✕</t>
        </is>
      </c>
      <c r="N18" s="21" t="inlineStr">
        <is>
          <t>✕</t>
        </is>
      </c>
      <c r="O18" s="21" t="inlineStr">
        <is>
          <t>✕</t>
        </is>
      </c>
      <c r="P18" s="22" t="n">
        <v>10</v>
      </c>
      <c r="Q18" s="23" t="n"/>
      <c r="R18" s="22" t="n">
        <v>17</v>
      </c>
      <c r="S18" s="23" t="n"/>
      <c r="T18" s="22" t="n">
        <v>14</v>
      </c>
      <c r="U18" s="23" t="n"/>
      <c r="V18" s="22" t="n">
        <v>11</v>
      </c>
      <c r="W18" s="23" t="n"/>
      <c r="X18" s="22" t="n">
        <v>5</v>
      </c>
      <c r="Y18" s="23" t="n"/>
      <c r="Z18" s="24">
        <f>IFERROR(Q18,0)+IFERROR(S18,0)+IFERROR(U18,0)+IFERROR(W18,0)+IFERROR(Y18,0)</f>
        <v/>
      </c>
      <c r="AA18" s="17">
        <f>Z18*H18</f>
        <v/>
      </c>
    </row>
    <row r="19" ht="46" customHeight="1">
      <c r="A19" s="10" t="inlineStr">
        <is>
          <t>↑ photo</t>
        </is>
      </c>
      <c r="B19" s="25" t="inlineStr">
        <is>
          <t>NM-26S-SET-BLNE</t>
        </is>
      </c>
      <c r="C19" s="26" t="inlineStr">
        <is>
          <t>New Modal Loungewear</t>
        </is>
      </c>
      <c r="D19" s="13" t="inlineStr">
        <is>
          <t>SET</t>
        </is>
      </c>
      <c r="E19" s="27" t="inlineStr">
        <is>
          <t>Blue</t>
        </is>
      </c>
      <c r="F19" s="28" t="inlineStr">
        <is>
          <t>—</t>
        </is>
      </c>
      <c r="G19" s="29" t="inlineStr">
        <is>
          <t>Color block ribbed modal loungewear set.</t>
        </is>
      </c>
      <c r="H19" s="17" t="n">
        <v>29</v>
      </c>
      <c r="I19" s="30" t="n">
        <v>70</v>
      </c>
      <c r="J19" s="19" t="n">
        <v>18</v>
      </c>
      <c r="K19" s="20" t="inlineStr">
        <is>
          <t>✓ In Stock</t>
        </is>
      </c>
      <c r="L19" s="21" t="inlineStr">
        <is>
          <t>✕</t>
        </is>
      </c>
      <c r="M19" s="21" t="inlineStr">
        <is>
          <t>✕</t>
        </is>
      </c>
      <c r="N19" s="21" t="inlineStr">
        <is>
          <t>✕</t>
        </is>
      </c>
      <c r="O19" s="21" t="inlineStr">
        <is>
          <t>✕</t>
        </is>
      </c>
      <c r="P19" s="31" t="inlineStr">
        <is>
          <t>0</t>
        </is>
      </c>
      <c r="Q19" s="31" t="n"/>
      <c r="R19" s="31" t="inlineStr">
        <is>
          <t>0</t>
        </is>
      </c>
      <c r="S19" s="31" t="n"/>
      <c r="T19" s="31" t="inlineStr">
        <is>
          <t>0</t>
        </is>
      </c>
      <c r="U19" s="31" t="n"/>
      <c r="V19" s="22" t="n">
        <v>8</v>
      </c>
      <c r="W19" s="23" t="n"/>
      <c r="X19" s="22" t="n">
        <v>10</v>
      </c>
      <c r="Y19" s="23" t="n"/>
      <c r="Z19" s="24">
        <f>IFERROR(W19,0)+IFERROR(Y19,0)</f>
        <v/>
      </c>
      <c r="AA19" s="17">
        <f>Z19*H19</f>
        <v/>
      </c>
    </row>
    <row r="20" ht="46" customHeight="1">
      <c r="A20" s="10" t="inlineStr">
        <is>
          <t>↑ photo</t>
        </is>
      </c>
      <c r="B20" s="11" t="inlineStr">
        <is>
          <t>NM-26S-SET-PINE</t>
        </is>
      </c>
      <c r="C20" s="12" t="inlineStr">
        <is>
          <t>New Modal Loungewear</t>
        </is>
      </c>
      <c r="D20" s="13" t="inlineStr">
        <is>
          <t>SET</t>
        </is>
      </c>
      <c r="E20" s="14" t="inlineStr">
        <is>
          <t>Pink</t>
        </is>
      </c>
      <c r="F20" s="15" t="inlineStr">
        <is>
          <t>—</t>
        </is>
      </c>
      <c r="G20" s="16" t="inlineStr">
        <is>
          <t>Color block ribbed modal loungewear set.</t>
        </is>
      </c>
      <c r="H20" s="17" t="n">
        <v>29</v>
      </c>
      <c r="I20" s="18" t="n">
        <v>70</v>
      </c>
      <c r="J20" s="19" t="n">
        <v>61</v>
      </c>
      <c r="K20" s="20" t="inlineStr">
        <is>
          <t>✓ In Stock</t>
        </is>
      </c>
      <c r="L20" s="21" t="inlineStr">
        <is>
          <t>✕</t>
        </is>
      </c>
      <c r="M20" s="21" t="inlineStr">
        <is>
          <t>✕</t>
        </is>
      </c>
      <c r="N20" s="21" t="inlineStr">
        <is>
          <t>✕</t>
        </is>
      </c>
      <c r="O20" s="21" t="inlineStr">
        <is>
          <t>✕</t>
        </is>
      </c>
      <c r="P20" s="31" t="inlineStr">
        <is>
          <t>0</t>
        </is>
      </c>
      <c r="Q20" s="31" t="n"/>
      <c r="R20" s="22" t="n">
        <v>21</v>
      </c>
      <c r="S20" s="23" t="n"/>
      <c r="T20" s="22" t="n">
        <v>10</v>
      </c>
      <c r="U20" s="23" t="n"/>
      <c r="V20" s="22" t="n">
        <v>20</v>
      </c>
      <c r="W20" s="23" t="n"/>
      <c r="X20" s="22" t="n">
        <v>10</v>
      </c>
      <c r="Y20" s="23" t="n"/>
      <c r="Z20" s="24">
        <f>IFERROR(S20,0)+IFERROR(U20,0)+IFERROR(W20,0)+IFERROR(Y20,0)</f>
        <v/>
      </c>
      <c r="AA20" s="17">
        <f>Z20*H20</f>
        <v/>
      </c>
    </row>
    <row r="21" ht="46" customHeight="1">
      <c r="A21" s="10" t="inlineStr">
        <is>
          <t>↑ photo</t>
        </is>
      </c>
      <c r="B21" s="25" t="inlineStr">
        <is>
          <t>NM-26S-SET-PUSI</t>
        </is>
      </c>
      <c r="C21" s="26" t="inlineStr">
        <is>
          <t>Signature Classic</t>
        </is>
      </c>
      <c r="D21" s="13" t="inlineStr">
        <is>
          <t>SET</t>
        </is>
      </c>
      <c r="E21" s="27" t="inlineStr">
        <is>
          <t>Purple</t>
        </is>
      </c>
      <c r="F21" s="28" t="inlineStr">
        <is>
          <t>Basic</t>
        </is>
      </c>
      <c r="G21" s="29" t="inlineStr">
        <is>
          <t>Signature classic set, basic neckline.</t>
        </is>
      </c>
      <c r="H21" s="17" t="n">
        <v>29</v>
      </c>
      <c r="I21" s="30" t="n">
        <v>63</v>
      </c>
      <c r="J21" s="19" t="n">
        <v>51</v>
      </c>
      <c r="K21" s="20" t="inlineStr">
        <is>
          <t>✓ In Stock</t>
        </is>
      </c>
      <c r="L21" s="21" t="inlineStr">
        <is>
          <t>✕</t>
        </is>
      </c>
      <c r="M21" s="21" t="inlineStr">
        <is>
          <t>✕</t>
        </is>
      </c>
      <c r="N21" s="21" t="inlineStr">
        <is>
          <t>✕</t>
        </is>
      </c>
      <c r="O21" s="21" t="inlineStr">
        <is>
          <t>✕</t>
        </is>
      </c>
      <c r="P21" s="22" t="n">
        <v>4</v>
      </c>
      <c r="Q21" s="23" t="n"/>
      <c r="R21" s="22" t="n">
        <v>10</v>
      </c>
      <c r="S21" s="23" t="n"/>
      <c r="T21" s="22" t="n">
        <v>16</v>
      </c>
      <c r="U21" s="23" t="n"/>
      <c r="V21" s="22" t="n">
        <v>9</v>
      </c>
      <c r="W21" s="23" t="n"/>
      <c r="X21" s="22" t="n">
        <v>12</v>
      </c>
      <c r="Y21" s="23" t="n"/>
      <c r="Z21" s="24">
        <f>IFERROR(Q21,0)+IFERROR(S21,0)+IFERROR(U21,0)+IFERROR(W21,0)+IFERROR(Y21,0)</f>
        <v/>
      </c>
      <c r="AA21" s="17">
        <f>Z21*H21</f>
        <v/>
      </c>
    </row>
    <row r="22" ht="46" customHeight="1">
      <c r="A22" s="10" t="inlineStr">
        <is>
          <t>↑ photo</t>
        </is>
      </c>
      <c r="B22" s="11" t="inlineStr">
        <is>
          <t>NM-26S-SET-PUSI</t>
        </is>
      </c>
      <c r="C22" s="12" t="inlineStr">
        <is>
          <t>Signature Classic</t>
        </is>
      </c>
      <c r="D22" s="13" t="inlineStr">
        <is>
          <t>SET</t>
        </is>
      </c>
      <c r="E22" s="14" t="inlineStr">
        <is>
          <t>Purple</t>
        </is>
      </c>
      <c r="F22" s="15" t="inlineStr">
        <is>
          <t>Frill</t>
        </is>
      </c>
      <c r="G22" s="16" t="inlineStr">
        <is>
          <t>Signature classic set, frill neckline.</t>
        </is>
      </c>
      <c r="H22" s="17" t="n">
        <v>29</v>
      </c>
      <c r="I22" s="18" t="n">
        <v>63</v>
      </c>
      <c r="J22" s="19" t="n">
        <v>21</v>
      </c>
      <c r="K22" s="20" t="inlineStr">
        <is>
          <t>✓ In Stock</t>
        </is>
      </c>
      <c r="L22" s="21" t="inlineStr">
        <is>
          <t>✕</t>
        </is>
      </c>
      <c r="M22" s="21" t="inlineStr">
        <is>
          <t>✕</t>
        </is>
      </c>
      <c r="N22" s="21" t="inlineStr">
        <is>
          <t>✕</t>
        </is>
      </c>
      <c r="O22" s="21" t="inlineStr">
        <is>
          <t>✕</t>
        </is>
      </c>
      <c r="P22" s="31" t="inlineStr">
        <is>
          <t>0</t>
        </is>
      </c>
      <c r="Q22" s="31" t="n"/>
      <c r="R22" s="31" t="inlineStr">
        <is>
          <t>0</t>
        </is>
      </c>
      <c r="S22" s="31" t="n"/>
      <c r="T22" s="22" t="n">
        <v>13</v>
      </c>
      <c r="U22" s="23" t="n"/>
      <c r="V22" s="31" t="inlineStr">
        <is>
          <t>0</t>
        </is>
      </c>
      <c r="W22" s="31" t="n"/>
      <c r="X22" s="22" t="n">
        <v>8</v>
      </c>
      <c r="Y22" s="23" t="n"/>
      <c r="Z22" s="24">
        <f>IFERROR(U22,0)+IFERROR(Y22,0)</f>
        <v/>
      </c>
      <c r="AA22" s="17">
        <f>Z22*H22</f>
        <v/>
      </c>
    </row>
    <row r="23" ht="46" customHeight="1">
      <c r="A23" s="10" t="inlineStr">
        <is>
          <t>↑ photo</t>
        </is>
      </c>
      <c r="B23" s="25" t="inlineStr">
        <is>
          <t>NM-26S-SET-YESI</t>
        </is>
      </c>
      <c r="C23" s="26" t="inlineStr">
        <is>
          <t>Signature Classic</t>
        </is>
      </c>
      <c r="D23" s="13" t="inlineStr">
        <is>
          <t>SET</t>
        </is>
      </c>
      <c r="E23" s="27" t="inlineStr">
        <is>
          <t>Yellow</t>
        </is>
      </c>
      <c r="F23" s="28" t="inlineStr">
        <is>
          <t>Basic</t>
        </is>
      </c>
      <c r="G23" s="29" t="inlineStr">
        <is>
          <t>Signature classic set, basic neckline.</t>
        </is>
      </c>
      <c r="H23" s="17" t="n">
        <v>29</v>
      </c>
      <c r="I23" s="30" t="n">
        <v>63</v>
      </c>
      <c r="J23" s="19" t="n">
        <v>47</v>
      </c>
      <c r="K23" s="20" t="inlineStr">
        <is>
          <t>✓ In Stock</t>
        </is>
      </c>
      <c r="L23" s="21" t="inlineStr">
        <is>
          <t>✕</t>
        </is>
      </c>
      <c r="M23" s="21" t="inlineStr">
        <is>
          <t>✕</t>
        </is>
      </c>
      <c r="N23" s="21" t="inlineStr">
        <is>
          <t>✕</t>
        </is>
      </c>
      <c r="O23" s="21" t="inlineStr">
        <is>
          <t>✕</t>
        </is>
      </c>
      <c r="P23" s="22" t="n">
        <v>1</v>
      </c>
      <c r="Q23" s="23" t="n"/>
      <c r="R23" s="22" t="n">
        <v>6</v>
      </c>
      <c r="S23" s="23" t="n"/>
      <c r="T23" s="22" t="n">
        <v>20</v>
      </c>
      <c r="U23" s="23" t="n"/>
      <c r="V23" s="22" t="n">
        <v>8</v>
      </c>
      <c r="W23" s="23" t="n"/>
      <c r="X23" s="22" t="n">
        <v>12</v>
      </c>
      <c r="Y23" s="23" t="n"/>
      <c r="Z23" s="24">
        <f>IFERROR(Q23,0)+IFERROR(S23,0)+IFERROR(U23,0)+IFERROR(W23,0)+IFERROR(Y23,0)</f>
        <v/>
      </c>
      <c r="AA23" s="17">
        <f>Z23*H23</f>
        <v/>
      </c>
    </row>
    <row r="24" ht="46" customHeight="1">
      <c r="A24" s="10" t="inlineStr">
        <is>
          <t>↑ photo</t>
        </is>
      </c>
      <c r="B24" s="11" t="inlineStr">
        <is>
          <t>NM-26S-SET-YESI</t>
        </is>
      </c>
      <c r="C24" s="12" t="inlineStr">
        <is>
          <t>Signature Classic</t>
        </is>
      </c>
      <c r="D24" s="13" t="inlineStr">
        <is>
          <t>SET</t>
        </is>
      </c>
      <c r="E24" s="14" t="inlineStr">
        <is>
          <t>Yellow</t>
        </is>
      </c>
      <c r="F24" s="15" t="inlineStr">
        <is>
          <t>Frill</t>
        </is>
      </c>
      <c r="G24" s="16" t="inlineStr">
        <is>
          <t>Signature classic set, frill neckline.</t>
        </is>
      </c>
      <c r="H24" s="17" t="n">
        <v>29</v>
      </c>
      <c r="I24" s="18" t="n">
        <v>63</v>
      </c>
      <c r="J24" s="19" t="n">
        <v>37</v>
      </c>
      <c r="K24" s="20" t="inlineStr">
        <is>
          <t>✓ In Stock</t>
        </is>
      </c>
      <c r="L24" s="21" t="inlineStr">
        <is>
          <t>✕</t>
        </is>
      </c>
      <c r="M24" s="21" t="inlineStr">
        <is>
          <t>✕</t>
        </is>
      </c>
      <c r="N24" s="21" t="inlineStr">
        <is>
          <t>✕</t>
        </is>
      </c>
      <c r="O24" s="21" t="inlineStr">
        <is>
          <t>✕</t>
        </is>
      </c>
      <c r="P24" s="22" t="n">
        <v>6</v>
      </c>
      <c r="Q24" s="23" t="n"/>
      <c r="R24" s="22" t="n">
        <v>2</v>
      </c>
      <c r="S24" s="23" t="n"/>
      <c r="T24" s="22" t="n">
        <v>11</v>
      </c>
      <c r="U24" s="23" t="n"/>
      <c r="V24" s="22" t="n">
        <v>7</v>
      </c>
      <c r="W24" s="23" t="n"/>
      <c r="X24" s="22" t="n">
        <v>11</v>
      </c>
      <c r="Y24" s="23" t="n"/>
      <c r="Z24" s="24">
        <f>IFERROR(Q24,0)+IFERROR(S24,0)+IFERROR(U24,0)+IFERROR(W24,0)+IFERROR(Y24,0)</f>
        <v/>
      </c>
      <c r="AA24" s="17">
        <f>Z24*H24</f>
        <v/>
      </c>
    </row>
    <row r="25" ht="46" customHeight="1">
      <c r="A25" s="10" t="inlineStr">
        <is>
          <t>↑ photo</t>
        </is>
      </c>
      <c r="B25" s="25" t="inlineStr">
        <is>
          <t>NM-26S-SET-LISO</t>
        </is>
      </c>
      <c r="C25" s="26" t="inlineStr">
        <is>
          <t>Soft Collar Set</t>
        </is>
      </c>
      <c r="D25" s="13" t="inlineStr">
        <is>
          <t>SET</t>
        </is>
      </c>
      <c r="E25" s="27" t="inlineStr">
        <is>
          <t>Lime Yellow</t>
        </is>
      </c>
      <c r="F25" s="28" t="inlineStr">
        <is>
          <t>—</t>
        </is>
      </c>
      <c r="G25" s="29" t="inlineStr">
        <is>
          <t>Soft collar top and pants set.</t>
        </is>
      </c>
      <c r="H25" s="17" t="n">
        <v>41</v>
      </c>
      <c r="I25" s="30" t="n">
        <v>82</v>
      </c>
      <c r="J25" s="19" t="n">
        <v>28</v>
      </c>
      <c r="K25" s="20" t="inlineStr">
        <is>
          <t>✓ In Stock</t>
        </is>
      </c>
      <c r="L25" s="21" t="inlineStr">
        <is>
          <t>✕</t>
        </is>
      </c>
      <c r="M25" s="21" t="inlineStr">
        <is>
          <t>✕</t>
        </is>
      </c>
      <c r="N25" s="21" t="inlineStr">
        <is>
          <t>✕</t>
        </is>
      </c>
      <c r="O25" s="21" t="inlineStr">
        <is>
          <t>✕</t>
        </is>
      </c>
      <c r="P25" s="31" t="inlineStr">
        <is>
          <t>0</t>
        </is>
      </c>
      <c r="Q25" s="31" t="n"/>
      <c r="R25" s="31" t="inlineStr">
        <is>
          <t>0</t>
        </is>
      </c>
      <c r="S25" s="31" t="n"/>
      <c r="T25" s="22" t="n">
        <v>2</v>
      </c>
      <c r="U25" s="23" t="n"/>
      <c r="V25" s="22" t="n">
        <v>12</v>
      </c>
      <c r="W25" s="23" t="n"/>
      <c r="X25" s="22" t="n">
        <v>14</v>
      </c>
      <c r="Y25" s="23" t="n"/>
      <c r="Z25" s="24">
        <f>IFERROR(U25,0)+IFERROR(W25,0)+IFERROR(Y25,0)</f>
        <v/>
      </c>
      <c r="AA25" s="17">
        <f>Z25*H25</f>
        <v/>
      </c>
    </row>
    <row r="26" ht="46" customHeight="1">
      <c r="A26" s="10" t="inlineStr">
        <is>
          <t>↑ photo</t>
        </is>
      </c>
      <c r="B26" s="11" t="inlineStr">
        <is>
          <t>NM-26S-SET-WASO</t>
        </is>
      </c>
      <c r="C26" s="12" t="inlineStr">
        <is>
          <t>Soft Collar Set</t>
        </is>
      </c>
      <c r="D26" s="13" t="inlineStr">
        <is>
          <t>SET</t>
        </is>
      </c>
      <c r="E26" s="14" t="inlineStr">
        <is>
          <t>Warm Grey</t>
        </is>
      </c>
      <c r="F26" s="15" t="inlineStr">
        <is>
          <t>—</t>
        </is>
      </c>
      <c r="G26" s="16" t="inlineStr">
        <is>
          <t>Soft collar top and pants set.</t>
        </is>
      </c>
      <c r="H26" s="17" t="n">
        <v>41</v>
      </c>
      <c r="I26" s="18" t="n">
        <v>82</v>
      </c>
      <c r="J26" s="19" t="n">
        <v>60</v>
      </c>
      <c r="K26" s="20" t="inlineStr">
        <is>
          <t>✓ In Stock</t>
        </is>
      </c>
      <c r="L26" s="21" t="inlineStr">
        <is>
          <t>✕</t>
        </is>
      </c>
      <c r="M26" s="21" t="inlineStr">
        <is>
          <t>✕</t>
        </is>
      </c>
      <c r="N26" s="21" t="inlineStr">
        <is>
          <t>✕</t>
        </is>
      </c>
      <c r="O26" s="21" t="inlineStr">
        <is>
          <t>✕</t>
        </is>
      </c>
      <c r="P26" s="31" t="inlineStr">
        <is>
          <t>0</t>
        </is>
      </c>
      <c r="Q26" s="31" t="n"/>
      <c r="R26" s="22" t="n">
        <v>7</v>
      </c>
      <c r="S26" s="23" t="n"/>
      <c r="T26" s="22" t="n">
        <v>19</v>
      </c>
      <c r="U26" s="23" t="n"/>
      <c r="V26" s="22" t="n">
        <v>17</v>
      </c>
      <c r="W26" s="23" t="n"/>
      <c r="X26" s="22" t="n">
        <v>17</v>
      </c>
      <c r="Y26" s="23" t="n"/>
      <c r="Z26" s="24">
        <f>IFERROR(S26,0)+IFERROR(U26,0)+IFERROR(W26,0)+IFERROR(Y26,0)</f>
        <v/>
      </c>
      <c r="AA26" s="17">
        <f>Z26*H26</f>
        <v/>
      </c>
    </row>
    <row r="27" ht="46" customHeight="1">
      <c r="A27" s="10" t="inlineStr">
        <is>
          <t>↑ photo</t>
        </is>
      </c>
      <c r="B27" s="25" t="inlineStr">
        <is>
          <t>NM-26S-SET-BLST</t>
        </is>
      </c>
      <c r="C27" s="26" t="inlineStr">
        <is>
          <t>Stripe Classic Set</t>
        </is>
      </c>
      <c r="D27" s="13" t="inlineStr">
        <is>
          <t>SET</t>
        </is>
      </c>
      <c r="E27" s="27" t="inlineStr">
        <is>
          <t>Black</t>
        </is>
      </c>
      <c r="F27" s="28" t="inlineStr">
        <is>
          <t>—</t>
        </is>
      </c>
      <c r="G27" s="29" t="inlineStr">
        <is>
          <t>Classic stripe matching set, relaxed everyday fit.</t>
        </is>
      </c>
      <c r="H27" s="17" t="n">
        <v>30</v>
      </c>
      <c r="I27" s="30" t="n">
        <v>57</v>
      </c>
      <c r="J27" s="19" t="n">
        <v>8</v>
      </c>
      <c r="K27" s="20" t="inlineStr">
        <is>
          <t>✓ In Stock</t>
        </is>
      </c>
      <c r="L27" s="21" t="inlineStr">
        <is>
          <t>✕</t>
        </is>
      </c>
      <c r="M27" s="21" t="inlineStr">
        <is>
          <t>✕</t>
        </is>
      </c>
      <c r="N27" s="21" t="inlineStr">
        <is>
          <t>✕</t>
        </is>
      </c>
      <c r="O27" s="21" t="inlineStr">
        <is>
          <t>✕</t>
        </is>
      </c>
      <c r="P27" s="31" t="inlineStr">
        <is>
          <t>0</t>
        </is>
      </c>
      <c r="Q27" s="31" t="n"/>
      <c r="R27" s="22" t="n">
        <v>5</v>
      </c>
      <c r="S27" s="23" t="n"/>
      <c r="T27" s="31" t="inlineStr">
        <is>
          <t>0</t>
        </is>
      </c>
      <c r="U27" s="31" t="n"/>
      <c r="V27" s="31" t="inlineStr">
        <is>
          <t>0</t>
        </is>
      </c>
      <c r="W27" s="31" t="n"/>
      <c r="X27" s="22" t="n">
        <v>3</v>
      </c>
      <c r="Y27" s="23" t="n"/>
      <c r="Z27" s="24">
        <f>IFERROR(S27,0)+IFERROR(Y27,0)</f>
        <v/>
      </c>
      <c r="AA27" s="17">
        <f>Z27*H27</f>
        <v/>
      </c>
    </row>
    <row r="28" ht="46" customHeight="1">
      <c r="A28" s="10" t="inlineStr">
        <is>
          <t>↑ photo</t>
        </is>
      </c>
      <c r="B28" s="11" t="inlineStr">
        <is>
          <t>NM-26S-SET-SOST</t>
        </is>
      </c>
      <c r="C28" s="12" t="inlineStr">
        <is>
          <t>Stripe Classic Set</t>
        </is>
      </c>
      <c r="D28" s="13" t="inlineStr">
        <is>
          <t>SET</t>
        </is>
      </c>
      <c r="E28" s="14" t="inlineStr">
        <is>
          <t>Soft Grey</t>
        </is>
      </c>
      <c r="F28" s="15" t="inlineStr">
        <is>
          <t>—</t>
        </is>
      </c>
      <c r="G28" s="16" t="inlineStr">
        <is>
          <t>Classic stripe matching set, relaxed everyday fit.</t>
        </is>
      </c>
      <c r="H28" s="17" t="n">
        <v>30</v>
      </c>
      <c r="I28" s="18" t="n">
        <v>57</v>
      </c>
      <c r="J28" s="19" t="n">
        <v>14</v>
      </c>
      <c r="K28" s="20" t="inlineStr">
        <is>
          <t>✓ In Stock</t>
        </is>
      </c>
      <c r="L28" s="21" t="inlineStr">
        <is>
          <t>✕</t>
        </is>
      </c>
      <c r="M28" s="21" t="inlineStr">
        <is>
          <t>✕</t>
        </is>
      </c>
      <c r="N28" s="21" t="inlineStr">
        <is>
          <t>✕</t>
        </is>
      </c>
      <c r="O28" s="21" t="inlineStr">
        <is>
          <t>✕</t>
        </is>
      </c>
      <c r="P28" s="22" t="n">
        <v>4</v>
      </c>
      <c r="Q28" s="23" t="n"/>
      <c r="R28" s="22" t="n">
        <v>2</v>
      </c>
      <c r="S28" s="23" t="n"/>
      <c r="T28" s="31" t="inlineStr">
        <is>
          <t>0</t>
        </is>
      </c>
      <c r="U28" s="31" t="n"/>
      <c r="V28" s="31" t="inlineStr">
        <is>
          <t>0</t>
        </is>
      </c>
      <c r="W28" s="31" t="n"/>
      <c r="X28" s="22" t="n">
        <v>8</v>
      </c>
      <c r="Y28" s="23" t="n"/>
      <c r="Z28" s="24">
        <f>IFERROR(Q28,0)+IFERROR(S28,0)+IFERROR(Y28,0)</f>
        <v/>
      </c>
      <c r="AA28" s="17">
        <f>Z28*H28</f>
        <v/>
      </c>
    </row>
    <row r="29" ht="28" customHeight="1">
      <c r="A29" s="38" t="inlineStr">
        <is>
          <t>ORDER TOTAL</t>
        </is>
      </c>
      <c r="Z29" s="39">
        <f>SUM(Z9:Z28)</f>
        <v/>
      </c>
      <c r="AA29" s="40">
        <f>SUM(AA9:AA28)</f>
        <v/>
      </c>
    </row>
    <row r="31" ht="16" customHeight="1">
      <c r="A31" s="41" t="inlineStr">
        <is>
          <t>GUIDE</t>
        </is>
      </c>
      <c r="B31" s="42" t="inlineStr">
        <is>
          <t>🟢 Green = Available stock (qty shown)</t>
        </is>
      </c>
      <c r="G31" s="43" t="inlineStr">
        <is>
          <t>🟡 Yellow = Enter your order qty</t>
        </is>
      </c>
      <c r="L31" s="44" t="inlineStr">
        <is>
          <t>Pre-Order = 0 stock, order-to-make</t>
        </is>
      </c>
    </row>
    <row r="32" ht="16" customHeight="1">
      <c r="A32" s="44" t="inlineStr">
        <is>
          <t>* Styles with no stock available: Re-order minimum 80 pcs | Production time: 2~4 weeks (subject to fabric availability)</t>
        </is>
      </c>
    </row>
    <row r="33" ht="16" customHeight="1">
      <c r="A33" s="45" t="inlineStr">
        <is>
          <t>* Stock quantities shown are as of date of issue. Actual available inventory may vary due to real-time orders.</t>
        </is>
      </c>
    </row>
    <row r="34" ht="16" customHeight="1">
      <c r="A34" s="45" t="inlineStr">
        <is>
          <t>★  Min. Opening Order: $1,200 wholesale   |   Re-order Min.: $800   |   MOQ: 10 pcs per style (sized) / 6 pcs per style (one size)   |   Size mix available   |   Payment: 50% deposit / 50% before shipment   |   Shipping: FOB Seoul</t>
        </is>
      </c>
    </row>
  </sheetData>
  <mergeCells count="36">
    <mergeCell ref="A5:D5"/>
    <mergeCell ref="L7:M7"/>
    <mergeCell ref="N7:O7"/>
    <mergeCell ref="A4:D4"/>
    <mergeCell ref="A7:A8"/>
    <mergeCell ref="G7:G8"/>
    <mergeCell ref="B31:F31"/>
    <mergeCell ref="I7:I8"/>
    <mergeCell ref="Z7:Z8"/>
    <mergeCell ref="E5:AA5"/>
    <mergeCell ref="A29:Y29"/>
    <mergeCell ref="X7:Y7"/>
    <mergeCell ref="R7:S7"/>
    <mergeCell ref="A2:AA2"/>
    <mergeCell ref="D7:D8"/>
    <mergeCell ref="H7:H8"/>
    <mergeCell ref="A33:AA33"/>
    <mergeCell ref="J7:J8"/>
    <mergeCell ref="AA7:AA8"/>
    <mergeCell ref="A32:AA32"/>
    <mergeCell ref="P7:Q7"/>
    <mergeCell ref="K4:M4"/>
    <mergeCell ref="C7:C8"/>
    <mergeCell ref="E7:E8"/>
    <mergeCell ref="K7:K8"/>
    <mergeCell ref="L31:P31"/>
    <mergeCell ref="V7:W7"/>
    <mergeCell ref="A9:AA9"/>
    <mergeCell ref="A34:AA34"/>
    <mergeCell ref="T7:U7"/>
    <mergeCell ref="H4:J4"/>
    <mergeCell ref="B7:B8"/>
    <mergeCell ref="E4:G4"/>
    <mergeCell ref="F7:F8"/>
    <mergeCell ref="G31:K31"/>
    <mergeCell ref="A1:A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6" customWidth="1" min="4" max="4"/>
    <col width="10" customWidth="1" min="5" max="5"/>
    <col width="7" customWidth="1" min="6" max="6"/>
    <col width="24" customWidth="1" min="7" max="7"/>
    <col width="10" customWidth="1" min="8" max="8"/>
    <col width="9" customWidth="1" min="9" max="9"/>
    <col width="8" customWidth="1" min="10" max="10"/>
    <col width="9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8" customWidth="1" min="22" max="22"/>
    <col width="14" customWidth="1" min="23" max="23"/>
  </cols>
  <sheetData>
    <row r="1" ht="44" customHeight="1">
      <c r="A1" s="1" t="inlineStr">
        <is>
          <t>numo  ·  2026 S/S  ·  Wholesale Line Sheet &amp; Order Form</t>
        </is>
      </c>
    </row>
    <row r="2" ht="18" customHeight="1">
      <c r="A2" s="2" t="inlineStr">
        <is>
          <t>Brand: NUMO  ·  Season: 2026 S/S  ·  FOB Seoul  ·  USD  ·  April 22, 2026</t>
        </is>
      </c>
    </row>
    <row r="3" ht="6" customHeight="1"/>
    <row r="4" ht="22" customHeight="1">
      <c r="A4" s="3" t="inlineStr">
        <is>
          <t>Store / Buyer Name:</t>
        </is>
      </c>
      <c r="E4" s="3" t="inlineStr">
        <is>
          <t>Contact:</t>
        </is>
      </c>
      <c r="H4" s="3" t="inlineStr">
        <is>
          <t>Email:</t>
        </is>
      </c>
      <c r="K4" s="3" t="inlineStr">
        <is>
          <t>Order Date:</t>
        </is>
      </c>
    </row>
    <row r="5" ht="22" customHeight="1">
      <c r="A5" s="3" t="inlineStr">
        <is>
          <t>Ship To:</t>
        </is>
      </c>
      <c r="E5" s="4" t="inlineStr"/>
    </row>
    <row r="6" ht="6" customHeight="1"/>
    <row r="7" ht="20" customHeight="1">
      <c r="A7" s="5" t="inlineStr">
        <is>
          <t>Photo</t>
        </is>
      </c>
      <c r="B7" s="5" t="inlineStr">
        <is>
          <t>Item Code</t>
        </is>
      </c>
      <c r="C7" s="5" t="inlineStr">
        <is>
          <t>Product Name</t>
        </is>
      </c>
      <c r="D7" s="5" t="inlineStr">
        <is>
          <t>Cat.</t>
        </is>
      </c>
      <c r="E7" s="5" t="inlineStr">
        <is>
          <t>Color</t>
        </is>
      </c>
      <c r="F7" s="5" t="inlineStr">
        <is>
          <t>Detail</t>
        </is>
      </c>
      <c r="G7" s="5" t="inlineStr">
        <is>
          <t>Description</t>
        </is>
      </c>
      <c r="H7" s="5" t="inlineStr">
        <is>
          <t>Wholesale
(USD)</t>
        </is>
      </c>
      <c r="I7" s="5" t="inlineStr">
        <is>
          <t>MSRP
(USD)</t>
        </is>
      </c>
      <c r="J7" s="5" t="inlineStr">
        <is>
          <t>Total
Stock</t>
        </is>
      </c>
      <c r="K7" s="5" t="inlineStr">
        <is>
          <t>Stock
Status</t>
        </is>
      </c>
      <c r="L7" s="6" t="inlineStr">
        <is>
          <t>80</t>
        </is>
      </c>
      <c r="N7" s="6" t="inlineStr">
        <is>
          <t>90</t>
        </is>
      </c>
      <c r="P7" s="6" t="inlineStr">
        <is>
          <t>100</t>
        </is>
      </c>
      <c r="R7" s="6" t="inlineStr">
        <is>
          <t>110</t>
        </is>
      </c>
      <c r="T7" s="6" t="inlineStr">
        <is>
          <t>120</t>
        </is>
      </c>
      <c r="V7" s="5" t="inlineStr">
        <is>
          <t>Total
Qty</t>
        </is>
      </c>
      <c r="W7" s="5" t="inlineStr">
        <is>
          <t>Total
Wholesale</t>
        </is>
      </c>
    </row>
    <row r="8" ht="16" customHeight="1">
      <c r="L8" s="7" t="inlineStr">
        <is>
          <t>Stock</t>
        </is>
      </c>
      <c r="M8" s="8" t="inlineStr">
        <is>
          <t>Order</t>
        </is>
      </c>
      <c r="N8" s="7" t="inlineStr">
        <is>
          <t>Stock</t>
        </is>
      </c>
      <c r="O8" s="8" t="inlineStr">
        <is>
          <t>Order</t>
        </is>
      </c>
      <c r="P8" s="7" t="inlineStr">
        <is>
          <t>Stock</t>
        </is>
      </c>
      <c r="Q8" s="8" t="inlineStr">
        <is>
          <t>Order</t>
        </is>
      </c>
      <c r="R8" s="7" t="inlineStr">
        <is>
          <t>Stock</t>
        </is>
      </c>
      <c r="S8" s="8" t="inlineStr">
        <is>
          <t>Order</t>
        </is>
      </c>
      <c r="T8" s="7" t="inlineStr">
        <is>
          <t>Stock</t>
        </is>
      </c>
      <c r="U8" s="8" t="inlineStr">
        <is>
          <t>Order</t>
        </is>
      </c>
    </row>
    <row r="9" ht="18" customHeight="1">
      <c r="A9" s="34" t="inlineStr">
        <is>
          <t xml:space="preserve">  ▸  OUTERWEAR</t>
        </is>
      </c>
    </row>
    <row r="10" ht="46" customHeight="1">
      <c r="A10" s="10" t="inlineStr">
        <is>
          <t>↑ photo</t>
        </is>
      </c>
      <c r="B10" s="11" t="inlineStr">
        <is>
          <t>NM-26S-OTR-SOHO</t>
        </is>
      </c>
      <c r="C10" s="12" t="inlineStr">
        <is>
          <t>Hoodie Jumper</t>
        </is>
      </c>
      <c r="D10" s="35" t="inlineStr">
        <is>
          <t>OTR</t>
        </is>
      </c>
      <c r="E10" s="14" t="inlineStr">
        <is>
          <t>Soft Grey</t>
        </is>
      </c>
      <c r="F10" s="15" t="inlineStr">
        <is>
          <t>—</t>
        </is>
      </c>
      <c r="G10" s="16" t="inlineStr">
        <is>
          <t>Cozy cotton zip-up hoodie with kangaroo pocket.</t>
        </is>
      </c>
      <c r="H10" s="17" t="n">
        <v>37</v>
      </c>
      <c r="I10" s="18" t="n">
        <v>67</v>
      </c>
      <c r="J10" s="19" t="n">
        <v>25</v>
      </c>
      <c r="K10" s="20" t="inlineStr">
        <is>
          <t>✓ In Stock</t>
        </is>
      </c>
      <c r="L10" s="22" t="n">
        <v>5</v>
      </c>
      <c r="M10" s="23" t="n"/>
      <c r="N10" s="22" t="n">
        <v>2</v>
      </c>
      <c r="O10" s="23" t="n"/>
      <c r="P10" s="22" t="n">
        <v>13</v>
      </c>
      <c r="Q10" s="23" t="n"/>
      <c r="R10" s="31" t="inlineStr">
        <is>
          <t>0</t>
        </is>
      </c>
      <c r="S10" s="31" t="n"/>
      <c r="T10" s="22" t="n">
        <v>5</v>
      </c>
      <c r="U10" s="23" t="n"/>
      <c r="V10" s="24">
        <f>IFERROR(M10,0)+IFERROR(O10,0)+IFERROR(Q10,0)+IFERROR(U10,0)</f>
        <v/>
      </c>
      <c r="W10" s="17">
        <f>V10*H10</f>
        <v/>
      </c>
    </row>
    <row r="11" ht="28" customHeight="1">
      <c r="A11" s="38" t="inlineStr">
        <is>
          <t>ORDER TOTAL</t>
        </is>
      </c>
      <c r="V11" s="39">
        <f>SUM(V9:V10)</f>
        <v/>
      </c>
      <c r="W11" s="40">
        <f>SUM(W9:W10)</f>
        <v/>
      </c>
    </row>
    <row r="13" ht="16" customHeight="1">
      <c r="A13" s="41" t="inlineStr">
        <is>
          <t>GUIDE</t>
        </is>
      </c>
      <c r="B13" s="42" t="inlineStr">
        <is>
          <t>🟢 Green = Available stock (qty shown)</t>
        </is>
      </c>
      <c r="G13" s="43" t="inlineStr">
        <is>
          <t>🟡 Yellow = Enter your order qty</t>
        </is>
      </c>
      <c r="L13" s="44" t="inlineStr">
        <is>
          <t>Pre-Order = 0 stock, order-to-make</t>
        </is>
      </c>
    </row>
    <row r="14" ht="16" customHeight="1">
      <c r="A14" s="44" t="inlineStr">
        <is>
          <t>* Styles with no stock available: Re-order minimum 80 pcs | Production time: 2~4 weeks (subject to fabric availability)</t>
        </is>
      </c>
    </row>
    <row r="15" ht="16" customHeight="1">
      <c r="A15" s="45" t="inlineStr">
        <is>
          <t>* Stock quantities shown are as of date of issue. Actual available inventory may vary due to real-time orders.</t>
        </is>
      </c>
    </row>
    <row r="16" ht="16" customHeight="1">
      <c r="A16" s="45" t="inlineStr">
        <is>
          <t>★  Min. Opening Order: $1,200 wholesale   |   Re-order Min.: $800   |   MOQ: 10 pcs per style (sized) / 6 pcs per style (one size)   |   Size mix available   |   Payment: 50% deposit / 50% before shipment   |   Shipping: FOB Seoul</t>
        </is>
      </c>
    </row>
  </sheetData>
  <mergeCells count="34">
    <mergeCell ref="A5:D5"/>
    <mergeCell ref="L7:M7"/>
    <mergeCell ref="A9:W9"/>
    <mergeCell ref="N7:O7"/>
    <mergeCell ref="A4:D4"/>
    <mergeCell ref="A7:A8"/>
    <mergeCell ref="G7:G8"/>
    <mergeCell ref="A15:W15"/>
    <mergeCell ref="I7:I8"/>
    <mergeCell ref="L13:P13"/>
    <mergeCell ref="W7:W8"/>
    <mergeCell ref="A1:W1"/>
    <mergeCell ref="R7:S7"/>
    <mergeCell ref="D7:D8"/>
    <mergeCell ref="A16:W16"/>
    <mergeCell ref="G13:K13"/>
    <mergeCell ref="H7:H8"/>
    <mergeCell ref="J7:J8"/>
    <mergeCell ref="B13:F13"/>
    <mergeCell ref="P7:Q7"/>
    <mergeCell ref="E5:W5"/>
    <mergeCell ref="K4:M4"/>
    <mergeCell ref="C7:C8"/>
    <mergeCell ref="E7:E8"/>
    <mergeCell ref="K7:K8"/>
    <mergeCell ref="V7:V8"/>
    <mergeCell ref="A2:W2"/>
    <mergeCell ref="A14:W14"/>
    <mergeCell ref="T7:U7"/>
    <mergeCell ref="H4:J4"/>
    <mergeCell ref="A11:U11"/>
    <mergeCell ref="B7:B8"/>
    <mergeCell ref="E4:G4"/>
    <mergeCell ref="F7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6" customWidth="1" min="4" max="4"/>
    <col width="10" customWidth="1" min="5" max="5"/>
    <col width="7" customWidth="1" min="6" max="6"/>
    <col width="24" customWidth="1" min="7" max="7"/>
    <col width="10" customWidth="1" min="8" max="8"/>
    <col width="9" customWidth="1" min="9" max="9"/>
    <col width="8" customWidth="1" min="10" max="10"/>
    <col width="9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8" customWidth="1" min="22" max="22"/>
    <col width="14" customWidth="1" min="23" max="23"/>
  </cols>
  <sheetData>
    <row r="1" ht="44" customHeight="1">
      <c r="A1" s="1" t="inlineStr">
        <is>
          <t>numo  ·  2026 S/S  ·  Wholesale Line Sheet &amp; Order Form</t>
        </is>
      </c>
    </row>
    <row r="2" ht="18" customHeight="1">
      <c r="A2" s="2" t="inlineStr">
        <is>
          <t>Brand: NUMO  ·  Season: 2026 S/S  ·  FOB Seoul  ·  USD  ·  April 22, 2026</t>
        </is>
      </c>
    </row>
    <row r="3" ht="6" customHeight="1"/>
    <row r="4" ht="22" customHeight="1">
      <c r="A4" s="3" t="inlineStr">
        <is>
          <t>Store / Buyer Name:</t>
        </is>
      </c>
      <c r="E4" s="3" t="inlineStr">
        <is>
          <t>Contact:</t>
        </is>
      </c>
      <c r="H4" s="3" t="inlineStr">
        <is>
          <t>Email:</t>
        </is>
      </c>
      <c r="K4" s="3" t="inlineStr">
        <is>
          <t>Order Date:</t>
        </is>
      </c>
    </row>
    <row r="5" ht="22" customHeight="1">
      <c r="A5" s="3" t="inlineStr">
        <is>
          <t>Ship To:</t>
        </is>
      </c>
      <c r="E5" s="4" t="inlineStr"/>
    </row>
    <row r="6" ht="6" customHeight="1"/>
    <row r="7" ht="20" customHeight="1">
      <c r="A7" s="5" t="inlineStr">
        <is>
          <t>Photo</t>
        </is>
      </c>
      <c r="B7" s="5" t="inlineStr">
        <is>
          <t>Item Code</t>
        </is>
      </c>
      <c r="C7" s="5" t="inlineStr">
        <is>
          <t>Product Name</t>
        </is>
      </c>
      <c r="D7" s="5" t="inlineStr">
        <is>
          <t>Cat.</t>
        </is>
      </c>
      <c r="E7" s="5" t="inlineStr">
        <is>
          <t>Color</t>
        </is>
      </c>
      <c r="F7" s="5" t="inlineStr">
        <is>
          <t>Detail</t>
        </is>
      </c>
      <c r="G7" s="5" t="inlineStr">
        <is>
          <t>Description</t>
        </is>
      </c>
      <c r="H7" s="5" t="inlineStr">
        <is>
          <t>Wholesale
(USD)</t>
        </is>
      </c>
      <c r="I7" s="5" t="inlineStr">
        <is>
          <t>MSRP
(USD)</t>
        </is>
      </c>
      <c r="J7" s="5" t="inlineStr">
        <is>
          <t>Total
Stock</t>
        </is>
      </c>
      <c r="K7" s="5" t="inlineStr">
        <is>
          <t>Stock
Status</t>
        </is>
      </c>
      <c r="L7" s="6" t="inlineStr">
        <is>
          <t>80</t>
        </is>
      </c>
      <c r="N7" s="6" t="inlineStr">
        <is>
          <t>90</t>
        </is>
      </c>
      <c r="P7" s="6" t="inlineStr">
        <is>
          <t>100</t>
        </is>
      </c>
      <c r="R7" s="6" t="inlineStr">
        <is>
          <t>110</t>
        </is>
      </c>
      <c r="T7" s="6" t="inlineStr">
        <is>
          <t>120</t>
        </is>
      </c>
      <c r="V7" s="5" t="inlineStr">
        <is>
          <t>Total
Qty</t>
        </is>
      </c>
      <c r="W7" s="5" t="inlineStr">
        <is>
          <t>Total
Wholesale</t>
        </is>
      </c>
    </row>
    <row r="8" ht="16" customHeight="1">
      <c r="L8" s="7" t="inlineStr">
        <is>
          <t>Stock</t>
        </is>
      </c>
      <c r="M8" s="8" t="inlineStr">
        <is>
          <t>Order</t>
        </is>
      </c>
      <c r="N8" s="7" t="inlineStr">
        <is>
          <t>Stock</t>
        </is>
      </c>
      <c r="O8" s="8" t="inlineStr">
        <is>
          <t>Order</t>
        </is>
      </c>
      <c r="P8" s="7" t="inlineStr">
        <is>
          <t>Stock</t>
        </is>
      </c>
      <c r="Q8" s="8" t="inlineStr">
        <is>
          <t>Order</t>
        </is>
      </c>
      <c r="R8" s="7" t="inlineStr">
        <is>
          <t>Stock</t>
        </is>
      </c>
      <c r="S8" s="8" t="inlineStr">
        <is>
          <t>Order</t>
        </is>
      </c>
      <c r="T8" s="7" t="inlineStr">
        <is>
          <t>Stock</t>
        </is>
      </c>
      <c r="U8" s="8" t="inlineStr">
        <is>
          <t>Order</t>
        </is>
      </c>
    </row>
    <row r="9" ht="18" customHeight="1">
      <c r="A9" s="32" t="inlineStr">
        <is>
          <t xml:space="preserve">  ▸  BOTTOMS</t>
        </is>
      </c>
    </row>
    <row r="10" ht="46" customHeight="1">
      <c r="A10" s="10" t="inlineStr">
        <is>
          <t>↑ photo</t>
        </is>
      </c>
      <c r="B10" s="11" t="inlineStr">
        <is>
          <t>NM-26S-BOT-2-SI</t>
        </is>
      </c>
      <c r="C10" s="12" t="inlineStr">
        <is>
          <t>Signature Jogger Pants</t>
        </is>
      </c>
      <c r="D10" s="33" t="inlineStr">
        <is>
          <t>BOT</t>
        </is>
      </c>
      <c r="E10" s="14" t="inlineStr">
        <is>
          <t>2-Color</t>
        </is>
      </c>
      <c r="F10" s="15" t="inlineStr">
        <is>
          <t>—</t>
        </is>
      </c>
      <c r="G10" s="16" t="inlineStr">
        <is>
          <t>Ribbed jogger pants, comes in 2-color set.</t>
        </is>
      </c>
      <c r="H10" s="17" t="n">
        <v>19</v>
      </c>
      <c r="I10" s="18" t="n">
        <v>38</v>
      </c>
      <c r="J10" s="19" t="n">
        <v>68</v>
      </c>
      <c r="K10" s="20" t="inlineStr">
        <is>
          <t>✓ In Stock</t>
        </is>
      </c>
      <c r="L10" s="31" t="inlineStr">
        <is>
          <t>0</t>
        </is>
      </c>
      <c r="M10" s="31" t="n"/>
      <c r="N10" s="22" t="n">
        <v>32</v>
      </c>
      <c r="O10" s="23" t="n"/>
      <c r="P10" s="22" t="n">
        <v>6</v>
      </c>
      <c r="Q10" s="23" t="n"/>
      <c r="R10" s="31" t="inlineStr">
        <is>
          <t>0</t>
        </is>
      </c>
      <c r="S10" s="31" t="n"/>
      <c r="T10" s="22" t="n">
        <v>30</v>
      </c>
      <c r="U10" s="23" t="n"/>
      <c r="V10" s="24">
        <f>IFERROR(O10,0)+IFERROR(Q10,0)+IFERROR(U10,0)</f>
        <v/>
      </c>
      <c r="W10" s="17">
        <f>V10*H10</f>
        <v/>
      </c>
    </row>
    <row r="11" ht="28" customHeight="1">
      <c r="A11" s="38" t="inlineStr">
        <is>
          <t>ORDER TOTAL</t>
        </is>
      </c>
      <c r="V11" s="39">
        <f>SUM(V9:V10)</f>
        <v/>
      </c>
      <c r="W11" s="40">
        <f>SUM(W9:W10)</f>
        <v/>
      </c>
    </row>
    <row r="13" ht="16" customHeight="1">
      <c r="A13" s="41" t="inlineStr">
        <is>
          <t>GUIDE</t>
        </is>
      </c>
      <c r="B13" s="42" t="inlineStr">
        <is>
          <t>🟢 Green = Available stock (qty shown)</t>
        </is>
      </c>
      <c r="G13" s="43" t="inlineStr">
        <is>
          <t>🟡 Yellow = Enter your order qty</t>
        </is>
      </c>
      <c r="L13" s="44" t="inlineStr">
        <is>
          <t>Pre-Order = 0 stock, order-to-make</t>
        </is>
      </c>
    </row>
    <row r="14" ht="16" customHeight="1">
      <c r="A14" s="44" t="inlineStr">
        <is>
          <t>* Styles with no stock available: Re-order minimum 80 pcs | Production time: 2~4 weeks (subject to fabric availability)</t>
        </is>
      </c>
    </row>
    <row r="15" ht="16" customHeight="1">
      <c r="A15" s="45" t="inlineStr">
        <is>
          <t>* Stock quantities shown are as of date of issue. Actual available inventory may vary due to real-time orders.</t>
        </is>
      </c>
    </row>
    <row r="16" ht="16" customHeight="1">
      <c r="A16" s="45" t="inlineStr">
        <is>
          <t>★  Min. Opening Order: $1,200 wholesale   |   Re-order Min.: $800   |   MOQ: 10 pcs per style (sized) / 6 pcs per style (one size)   |   Size mix available   |   Payment: 50% deposit / 50% before shipment   |   Shipping: FOB Seoul</t>
        </is>
      </c>
    </row>
  </sheetData>
  <mergeCells count="34">
    <mergeCell ref="A5:D5"/>
    <mergeCell ref="L7:M7"/>
    <mergeCell ref="A9:W9"/>
    <mergeCell ref="N7:O7"/>
    <mergeCell ref="A4:D4"/>
    <mergeCell ref="A7:A8"/>
    <mergeCell ref="G7:G8"/>
    <mergeCell ref="A15:W15"/>
    <mergeCell ref="I7:I8"/>
    <mergeCell ref="L13:P13"/>
    <mergeCell ref="W7:W8"/>
    <mergeCell ref="A1:W1"/>
    <mergeCell ref="R7:S7"/>
    <mergeCell ref="D7:D8"/>
    <mergeCell ref="A16:W16"/>
    <mergeCell ref="G13:K13"/>
    <mergeCell ref="H7:H8"/>
    <mergeCell ref="J7:J8"/>
    <mergeCell ref="B13:F13"/>
    <mergeCell ref="P7:Q7"/>
    <mergeCell ref="E5:W5"/>
    <mergeCell ref="K4:M4"/>
    <mergeCell ref="C7:C8"/>
    <mergeCell ref="E7:E8"/>
    <mergeCell ref="K7:K8"/>
    <mergeCell ref="V7:V8"/>
    <mergeCell ref="A2:W2"/>
    <mergeCell ref="A14:W14"/>
    <mergeCell ref="T7:U7"/>
    <mergeCell ref="H4:J4"/>
    <mergeCell ref="A11:U11"/>
    <mergeCell ref="B7:B8"/>
    <mergeCell ref="E4:G4"/>
    <mergeCell ref="F7:F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6" customWidth="1" min="4" max="4"/>
    <col width="10" customWidth="1" min="5" max="5"/>
    <col width="7" customWidth="1" min="6" max="6"/>
    <col width="24" customWidth="1" min="7" max="7"/>
    <col width="10" customWidth="1" min="8" max="8"/>
    <col width="9" customWidth="1" min="9" max="9"/>
    <col width="8" customWidth="1" min="10" max="10"/>
    <col width="9" customWidth="1" min="11" max="11"/>
    <col width="6" customWidth="1" min="12" max="12"/>
    <col width="6" customWidth="1" min="13" max="13"/>
    <col width="8" customWidth="1" min="14" max="14"/>
    <col width="14" customWidth="1" min="15" max="15"/>
  </cols>
  <sheetData>
    <row r="1" ht="44" customHeight="1">
      <c r="A1" s="1" t="inlineStr">
        <is>
          <t>numo  ·  2026 S/S  ·  Wholesale Line Sheet &amp; Order Form</t>
        </is>
      </c>
    </row>
    <row r="2" ht="18" customHeight="1">
      <c r="A2" s="2" t="inlineStr">
        <is>
          <t>Brand: NUMO  ·  Season: 2026 S/S  ·  FOB Seoul  ·  USD  ·  April 22, 2026</t>
        </is>
      </c>
    </row>
    <row r="3" ht="6" customHeight="1"/>
    <row r="4" ht="22" customHeight="1">
      <c r="A4" s="3" t="inlineStr">
        <is>
          <t>Store / Buyer Name:</t>
        </is>
      </c>
      <c r="E4" s="3" t="inlineStr">
        <is>
          <t>Contact:</t>
        </is>
      </c>
      <c r="H4" s="3" t="inlineStr">
        <is>
          <t>Email:</t>
        </is>
      </c>
      <c r="K4" s="3" t="inlineStr">
        <is>
          <t>Order Date:</t>
        </is>
      </c>
    </row>
    <row r="5" ht="22" customHeight="1">
      <c r="A5" s="3" t="inlineStr">
        <is>
          <t>Ship To:</t>
        </is>
      </c>
      <c r="E5" s="4" t="inlineStr"/>
    </row>
    <row r="6" ht="6" customHeight="1"/>
    <row r="7" ht="20" customHeight="1">
      <c r="A7" s="5" t="inlineStr">
        <is>
          <t>Photo</t>
        </is>
      </c>
      <c r="B7" s="5" t="inlineStr">
        <is>
          <t>Item Code</t>
        </is>
      </c>
      <c r="C7" s="5" t="inlineStr">
        <is>
          <t>Product Name</t>
        </is>
      </c>
      <c r="D7" s="5" t="inlineStr">
        <is>
          <t>Cat.</t>
        </is>
      </c>
      <c r="E7" s="5" t="inlineStr">
        <is>
          <t>Color</t>
        </is>
      </c>
      <c r="F7" s="5" t="inlineStr">
        <is>
          <t>Detail</t>
        </is>
      </c>
      <c r="G7" s="5" t="inlineStr">
        <is>
          <t>Description</t>
        </is>
      </c>
      <c r="H7" s="5" t="inlineStr">
        <is>
          <t>Wholesale
(USD)</t>
        </is>
      </c>
      <c r="I7" s="5" t="inlineStr">
        <is>
          <t>MSRP
(USD)</t>
        </is>
      </c>
      <c r="J7" s="5" t="inlineStr">
        <is>
          <t>Total
Stock</t>
        </is>
      </c>
      <c r="K7" s="5" t="inlineStr">
        <is>
          <t>Stock
Status</t>
        </is>
      </c>
      <c r="L7" s="6" t="inlineStr">
        <is>
          <t>One Size</t>
        </is>
      </c>
      <c r="N7" s="5" t="inlineStr">
        <is>
          <t>Total
Qty</t>
        </is>
      </c>
      <c r="O7" s="5" t="inlineStr">
        <is>
          <t>Total
Wholesale</t>
        </is>
      </c>
    </row>
    <row r="8" ht="16" customHeight="1">
      <c r="L8" s="7" t="inlineStr">
        <is>
          <t>Stock</t>
        </is>
      </c>
      <c r="M8" s="8" t="inlineStr">
        <is>
          <t>Order</t>
        </is>
      </c>
    </row>
    <row r="9" ht="18" customHeight="1">
      <c r="A9" s="36" t="inlineStr">
        <is>
          <t xml:space="preserve">  ▸  ACCESSORIES</t>
        </is>
      </c>
    </row>
    <row r="10" ht="46" customHeight="1">
      <c r="A10" s="10" t="inlineStr">
        <is>
          <t>↑ photo</t>
        </is>
      </c>
      <c r="B10" s="11" t="inlineStr">
        <is>
          <t>NM-26S-ACC-LABA</t>
        </is>
      </c>
      <c r="C10" s="12" t="inlineStr">
        <is>
          <t>Ball Cap</t>
        </is>
      </c>
      <c r="D10" s="37" t="inlineStr">
        <is>
          <t>ACC</t>
        </is>
      </c>
      <c r="E10" s="14" t="inlineStr">
        <is>
          <t>Lavender</t>
        </is>
      </c>
      <c r="F10" s="15" t="inlineStr">
        <is>
          <t>—</t>
        </is>
      </c>
      <c r="G10" s="16" t="inlineStr">
        <is>
          <t>Relaxed fit ball cap with numo branding.</t>
        </is>
      </c>
      <c r="H10" s="17" t="n">
        <v>27</v>
      </c>
      <c r="I10" s="18" t="n">
        <v>44</v>
      </c>
      <c r="J10" s="19" t="n">
        <v>22</v>
      </c>
      <c r="K10" s="20" t="inlineStr">
        <is>
          <t>✓ In Stock</t>
        </is>
      </c>
      <c r="L10" s="22" t="n">
        <v>22</v>
      </c>
      <c r="M10" s="23" t="n"/>
      <c r="N10" s="24">
        <f>IFERROR(M10,0)</f>
        <v/>
      </c>
      <c r="O10" s="17">
        <f>N10*H10</f>
        <v/>
      </c>
    </row>
    <row r="11" ht="46" customHeight="1">
      <c r="A11" s="10" t="inlineStr">
        <is>
          <t>↑ photo</t>
        </is>
      </c>
      <c r="B11" s="25" t="inlineStr">
        <is>
          <t>NM-26S-ACC-LEBA</t>
        </is>
      </c>
      <c r="C11" s="26" t="inlineStr">
        <is>
          <t>Ball Cap</t>
        </is>
      </c>
      <c r="D11" s="37" t="inlineStr">
        <is>
          <t>ACC</t>
        </is>
      </c>
      <c r="E11" s="27" t="inlineStr">
        <is>
          <t>Lemon Cream</t>
        </is>
      </c>
      <c r="F11" s="28" t="inlineStr">
        <is>
          <t>—</t>
        </is>
      </c>
      <c r="G11" s="29" t="inlineStr">
        <is>
          <t>Relaxed fit ball cap with numo branding.</t>
        </is>
      </c>
      <c r="H11" s="17" t="n">
        <v>27</v>
      </c>
      <c r="I11" s="30" t="n">
        <v>44</v>
      </c>
      <c r="J11" s="19" t="n">
        <v>24</v>
      </c>
      <c r="K11" s="20" t="inlineStr">
        <is>
          <t>✓ In Stock</t>
        </is>
      </c>
      <c r="L11" s="22" t="n">
        <v>24</v>
      </c>
      <c r="M11" s="23" t="n"/>
      <c r="N11" s="24">
        <f>IFERROR(M11,0)</f>
        <v/>
      </c>
      <c r="O11" s="17">
        <f>N11*H11</f>
        <v/>
      </c>
    </row>
    <row r="12" ht="46" customHeight="1">
      <c r="A12" s="10" t="inlineStr">
        <is>
          <t>↑ photo</t>
        </is>
      </c>
      <c r="B12" s="11" t="inlineStr">
        <is>
          <t>NM-26S-ACC-BAST</t>
        </is>
      </c>
      <c r="C12" s="12" t="inlineStr">
        <is>
          <t>Stripe Bonnet</t>
        </is>
      </c>
      <c r="D12" s="37" t="inlineStr">
        <is>
          <t>ACC</t>
        </is>
      </c>
      <c r="E12" s="14" t="inlineStr">
        <is>
          <t>Baby Blue</t>
        </is>
      </c>
      <c r="F12" s="15" t="inlineStr">
        <is>
          <t>—</t>
        </is>
      </c>
      <c r="G12" s="16" t="inlineStr">
        <is>
          <t>Soft stripe bonnet with ear coverage.</t>
        </is>
      </c>
      <c r="H12" s="17" t="n">
        <v>11</v>
      </c>
      <c r="I12" s="18" t="n">
        <v>28</v>
      </c>
      <c r="J12" s="19" t="n">
        <v>38</v>
      </c>
      <c r="K12" s="20" t="inlineStr">
        <is>
          <t>✓ In Stock</t>
        </is>
      </c>
      <c r="L12" s="22" t="n">
        <v>38</v>
      </c>
      <c r="M12" s="23" t="n"/>
      <c r="N12" s="24">
        <f>IFERROR(M12,0)</f>
        <v/>
      </c>
      <c r="O12" s="17">
        <f>N12*H12</f>
        <v/>
      </c>
    </row>
    <row r="13" ht="46" customHeight="1">
      <c r="A13" s="10" t="inlineStr">
        <is>
          <t>↑ photo</t>
        </is>
      </c>
      <c r="B13" s="25" t="inlineStr">
        <is>
          <t>NM-26S-ACC-BAST</t>
        </is>
      </c>
      <c r="C13" s="26" t="inlineStr">
        <is>
          <t>Stripe Bonnet</t>
        </is>
      </c>
      <c r="D13" s="37" t="inlineStr">
        <is>
          <t>ACC</t>
        </is>
      </c>
      <c r="E13" s="27" t="inlineStr">
        <is>
          <t>Baby Pink</t>
        </is>
      </c>
      <c r="F13" s="28" t="inlineStr">
        <is>
          <t>—</t>
        </is>
      </c>
      <c r="G13" s="29" t="inlineStr">
        <is>
          <t>Soft stripe bonnet with ear coverage.</t>
        </is>
      </c>
      <c r="H13" s="17" t="n">
        <v>11</v>
      </c>
      <c r="I13" s="30" t="n">
        <v>28</v>
      </c>
      <c r="J13" s="19" t="n">
        <v>34</v>
      </c>
      <c r="K13" s="20" t="inlineStr">
        <is>
          <t>✓ In Stock</t>
        </is>
      </c>
      <c r="L13" s="22" t="n">
        <v>34</v>
      </c>
      <c r="M13" s="23" t="n"/>
      <c r="N13" s="24">
        <f>IFERROR(M13,0)</f>
        <v/>
      </c>
      <c r="O13" s="17">
        <f>N13*H13</f>
        <v/>
      </c>
    </row>
    <row r="14" ht="28" customHeight="1">
      <c r="A14" s="38" t="inlineStr">
        <is>
          <t>ORDER TOTAL</t>
        </is>
      </c>
      <c r="N14" s="39">
        <f>SUM(N9:N13)</f>
        <v/>
      </c>
      <c r="O14" s="40">
        <f>SUM(O9:O13)</f>
        <v/>
      </c>
    </row>
    <row r="16" ht="16" customHeight="1">
      <c r="A16" s="41" t="inlineStr">
        <is>
          <t>GUIDE</t>
        </is>
      </c>
      <c r="B16" s="42" t="inlineStr">
        <is>
          <t>🟢 Green = Available stock (qty shown)</t>
        </is>
      </c>
      <c r="G16" s="43" t="inlineStr">
        <is>
          <t>🟡 Yellow = Enter your order qty</t>
        </is>
      </c>
      <c r="L16" s="44" t="inlineStr">
        <is>
          <t>Pre-Order = 0 stock, order-to-make</t>
        </is>
      </c>
    </row>
    <row r="17" ht="16" customHeight="1">
      <c r="A17" s="44" t="inlineStr">
        <is>
          <t>* Styles with no stock available: Re-order minimum 80 pcs | Production time: 2~4 weeks (subject to fabric availability)</t>
        </is>
      </c>
    </row>
    <row r="18" ht="16" customHeight="1">
      <c r="A18" s="45" t="inlineStr">
        <is>
          <t>* Stock quantities shown are as of date of issue. Actual available inventory may vary due to real-time orders.</t>
        </is>
      </c>
    </row>
    <row r="19" ht="16" customHeight="1">
      <c r="A19" s="45" t="inlineStr">
        <is>
          <t>★  Min. Opening Order: $1,200 wholesale   |   Re-order Min.: $800   |   MOQ: 10 pcs per style (sized) / 6 pcs per style (one size)   |   Size mix available   |   Payment: 50% deposit / 50% before shipment   |   Shipping: FOB Seoul</t>
        </is>
      </c>
    </row>
  </sheetData>
  <mergeCells count="30">
    <mergeCell ref="A5:D5"/>
    <mergeCell ref="A14:M14"/>
    <mergeCell ref="L7:M7"/>
    <mergeCell ref="B16:F16"/>
    <mergeCell ref="A4:D4"/>
    <mergeCell ref="L16:P16"/>
    <mergeCell ref="A7:A8"/>
    <mergeCell ref="G7:G8"/>
    <mergeCell ref="I7:I8"/>
    <mergeCell ref="E5:O5"/>
    <mergeCell ref="A18:O18"/>
    <mergeCell ref="A2:O2"/>
    <mergeCell ref="D7:D8"/>
    <mergeCell ref="H7:H8"/>
    <mergeCell ref="J7:J8"/>
    <mergeCell ref="A17:O17"/>
    <mergeCell ref="K4:M4"/>
    <mergeCell ref="A19:O19"/>
    <mergeCell ref="C7:C8"/>
    <mergeCell ref="E7:E8"/>
    <mergeCell ref="K7:K8"/>
    <mergeCell ref="O7:O8"/>
    <mergeCell ref="A9:O9"/>
    <mergeCell ref="G16:K16"/>
    <mergeCell ref="H4:J4"/>
    <mergeCell ref="A1:O1"/>
    <mergeCell ref="B7:B8"/>
    <mergeCell ref="E4:G4"/>
    <mergeCell ref="F7:F8"/>
    <mergeCell ref="N7:N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2026-04-22T22:26:46Z</dcterms:created>
  <dcterms:modified xmlns:dcterms="http://purl.org/dc/terms/" xmlns:xsi="http://www.w3.org/2001/XMLSchema-instance" xsi:type="dcterms:W3CDTF">2026-04-22T22:26:46Z</dcterms:modified>
</cp:coreProperties>
</file>